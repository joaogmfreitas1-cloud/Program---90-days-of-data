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2fb0f1fa499f6d/Desktop/"/>
    </mc:Choice>
  </mc:AlternateContent>
  <xr:revisionPtr revIDLastSave="4" documentId="8_{0DB97BE1-8FA0-4DD6-8E77-986E48EC21AB}" xr6:coauthVersionLast="47" xr6:coauthVersionMax="47" xr10:uidLastSave="{F2524441-204C-48CD-85F4-0E68EEA38AFE}"/>
  <bookViews>
    <workbookView xWindow="-120" yWindow="-120" windowWidth="29040" windowHeight="15840" xr2:uid="{86ACF3D1-0811-49B4-8C5E-A84018554D34}"/>
  </bookViews>
  <sheets>
    <sheet name="KPI1" sheetId="2" r:id="rId1"/>
  </sheets>
  <definedNames>
    <definedName name="DadosExternos_1" localSheetId="0" hidden="1">'KPI1'!$A$8:$C$12</definedName>
    <definedName name="DadosExternos_2" localSheetId="0" hidden="1">'KPI1'!$A$36:$D$40</definedName>
    <definedName name="DadosExternos_3" localSheetId="0" hidden="1">'KPI1'!$A$54:$B$109</definedName>
    <definedName name="DadosExternos_4" localSheetId="0" hidden="1">'KPI1'!$A$115:$C$153</definedName>
    <definedName name="DadosExternos_5" localSheetId="0" hidden="1">'KPI1'!$A$157:$C$195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0" i="2" l="1"/>
  <c r="C55" i="2" s="1"/>
  <c r="Q33" i="2"/>
  <c r="Q11" i="2"/>
  <c r="C57" i="2" l="1"/>
  <c r="C60" i="2"/>
  <c r="C108" i="2"/>
  <c r="C102" i="2"/>
  <c r="C96" i="2"/>
  <c r="C90" i="2"/>
  <c r="C84" i="2"/>
  <c r="C78" i="2"/>
  <c r="C72" i="2"/>
  <c r="C66" i="2"/>
  <c r="C107" i="2"/>
  <c r="C101" i="2"/>
  <c r="C95" i="2"/>
  <c r="C89" i="2"/>
  <c r="C83" i="2"/>
  <c r="C77" i="2"/>
  <c r="C71" i="2"/>
  <c r="C65" i="2"/>
  <c r="C59" i="2"/>
  <c r="C106" i="2"/>
  <c r="C100" i="2"/>
  <c r="C94" i="2"/>
  <c r="C88" i="2"/>
  <c r="C82" i="2"/>
  <c r="C76" i="2"/>
  <c r="C70" i="2"/>
  <c r="C64" i="2"/>
  <c r="C58" i="2"/>
  <c r="C104" i="2"/>
  <c r="C98" i="2"/>
  <c r="C92" i="2"/>
  <c r="C86" i="2"/>
  <c r="C80" i="2"/>
  <c r="C74" i="2"/>
  <c r="C68" i="2"/>
  <c r="C62" i="2"/>
  <c r="C56" i="2"/>
  <c r="C105" i="2"/>
  <c r="C99" i="2"/>
  <c r="C93" i="2"/>
  <c r="C87" i="2"/>
  <c r="C81" i="2"/>
  <c r="C75" i="2"/>
  <c r="C69" i="2"/>
  <c r="C63" i="2"/>
  <c r="C109" i="2"/>
  <c r="C103" i="2"/>
  <c r="C97" i="2"/>
  <c r="C91" i="2"/>
  <c r="C85" i="2"/>
  <c r="C79" i="2"/>
  <c r="C73" i="2"/>
  <c r="C67" i="2"/>
  <c r="C6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E4715D-E885-4EEF-9636-A684A355EDCD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  <connection id="2" xr16:uid="{11E9F60F-85CD-473A-AA0E-EA9EDB3CDDB8}" keepAlive="1" name="Consulta - Consulta2" description="Conexão com a consulta 'Consulta2' na pasta de trabalho." type="5" refreshedVersion="0" background="1">
    <dbPr connection="Provider=Microsoft.Mashup.OleDb.1;Data Source=$Workbook$;Location=Consulta2;Extended Properties=&quot;&quot;" command="SELECT * FROM [Consulta2]"/>
  </connection>
  <connection id="3" xr16:uid="{3BE19736-DAD2-42CB-99C4-CD737E5386C4}" keepAlive="1" name="Consulta - Consulta3" description="Conexão com a consulta 'Consulta3' na pasta de trabalho." type="5" refreshedVersion="8" background="1" saveData="1">
    <dbPr connection="Provider=Microsoft.Mashup.OleDb.1;Data Source=$Workbook$;Location=Consulta3;Extended Properties=&quot;&quot;" command="SELECT * FROM [Consulta3]"/>
  </connection>
  <connection id="4" xr16:uid="{0D4A3875-CB5D-4EB1-8293-56FCAD5CA6CF}" keepAlive="1" name="Consulta - Consulta4" description="Conexão com a consulta 'Consulta4' na pasta de trabalho." type="5" refreshedVersion="8" background="1" saveData="1">
    <dbPr connection="Provider=Microsoft.Mashup.OleDb.1;Data Source=$Workbook$;Location=Consulta4;Extended Properties=&quot;&quot;" command="SELECT * FROM [Consulta4]"/>
  </connection>
  <connection id="5" xr16:uid="{48E1A149-88C6-47BA-BA93-273801D83E77}" keepAlive="1" name="Consulta - Consulta5" description="Conexão com a consulta 'Consulta5' na pasta de trabalho." type="5" refreshedVersion="8" background="1" saveData="1">
    <dbPr connection="Provider=Microsoft.Mashup.OleDb.1;Data Source=$Workbook$;Location=Consulta5;Extended Properties=&quot;&quot;" command="SELECT * FROM [Consulta5]"/>
  </connection>
  <connection id="6" xr16:uid="{A83CEC8E-778D-4B86-828B-CE2435FB79FB}" keepAlive="1" name="Consulta - Consulta6" description="Conexão com a consulta 'Consulta6' na pasta de trabalho." type="5" refreshedVersion="8" background="1" saveData="1">
    <dbPr connection="Provider=Microsoft.Mashup.OleDb.1;Data Source=$Workbook$;Location=Consulta6;Extended Properties=&quot;&quot;" command="SELECT * FROM [Consulta6]"/>
  </connection>
</connections>
</file>

<file path=xl/sharedStrings.xml><?xml version="1.0" encoding="utf-8"?>
<sst xmlns="http://schemas.openxmlformats.org/spreadsheetml/2006/main" count="94" uniqueCount="86">
  <si>
    <t>ANO</t>
  </si>
  <si>
    <t>Vendas por ANO</t>
  </si>
  <si>
    <t>Valor Total</t>
  </si>
  <si>
    <t>INSIGHT</t>
  </si>
  <si>
    <t>Conforme banco de dados, temos registros até o mês 06/2014</t>
  </si>
  <si>
    <t>Ou seja, 46% de atingimento, se compararmos com o ano de 2013</t>
  </si>
  <si>
    <t>Pedidos por ANO</t>
  </si>
  <si>
    <t>Ticket Médio</t>
  </si>
  <si>
    <t>Estado</t>
  </si>
  <si>
    <t>total_pedidos</t>
  </si>
  <si>
    <t>California</t>
  </si>
  <si>
    <t>Washington</t>
  </si>
  <si>
    <t>England</t>
  </si>
  <si>
    <t>New South Wales</t>
  </si>
  <si>
    <t>British Columbia</t>
  </si>
  <si>
    <t>Oregon</t>
  </si>
  <si>
    <t>Victoria</t>
  </si>
  <si>
    <t>Queensland</t>
  </si>
  <si>
    <t>Saarland</t>
  </si>
  <si>
    <t>Nordrhein-Westfalen</t>
  </si>
  <si>
    <t>Hessen</t>
  </si>
  <si>
    <t>Seine (Paris)</t>
  </si>
  <si>
    <t>Hamburg</t>
  </si>
  <si>
    <t>Nord</t>
  </si>
  <si>
    <t>Seine Saint Denis</t>
  </si>
  <si>
    <t>South Australia</t>
  </si>
  <si>
    <t>Bayern</t>
  </si>
  <si>
    <t>Hauts de Seine</t>
  </si>
  <si>
    <t>Yveline</t>
  </si>
  <si>
    <t>Essonne</t>
  </si>
  <si>
    <t>Tasmania</t>
  </si>
  <si>
    <t>Loiret</t>
  </si>
  <si>
    <t>Moselle</t>
  </si>
  <si>
    <t>Seine et Marne</t>
  </si>
  <si>
    <t>Garonne (Haute)</t>
  </si>
  <si>
    <t>Brandenburg</t>
  </si>
  <si>
    <t>Val d'Oise</t>
  </si>
  <si>
    <t>Charente-Maritime</t>
  </si>
  <si>
    <t>Val de Marne</t>
  </si>
  <si>
    <t>Pas de Calais</t>
  </si>
  <si>
    <t>Somme</t>
  </si>
  <si>
    <t>Loir et Cher</t>
  </si>
  <si>
    <t>Alberta</t>
  </si>
  <si>
    <t>Illinois</t>
  </si>
  <si>
    <t>Texas</t>
  </si>
  <si>
    <t>Ohio</t>
  </si>
  <si>
    <t>Minnesota</t>
  </si>
  <si>
    <t>Georgia</t>
  </si>
  <si>
    <t>New York</t>
  </si>
  <si>
    <t>Ontario</t>
  </si>
  <si>
    <t>Florida</t>
  </si>
  <si>
    <t>Colorado</t>
  </si>
  <si>
    <t>Arizona</t>
  </si>
  <si>
    <t>North Carolina</t>
  </si>
  <si>
    <t>Missouri</t>
  </si>
  <si>
    <t>Utah</t>
  </si>
  <si>
    <t>Virginia</t>
  </si>
  <si>
    <t>Wyoming</t>
  </si>
  <si>
    <t>South Carolina</t>
  </si>
  <si>
    <t>Montana</t>
  </si>
  <si>
    <t>Mississippi</t>
  </si>
  <si>
    <t>Maryland</t>
  </si>
  <si>
    <t>Massachusetts</t>
  </si>
  <si>
    <t>Alabama</t>
  </si>
  <si>
    <t>Kentucky</t>
  </si>
  <si>
    <t>Ano</t>
  </si>
  <si>
    <t>Mes</t>
  </si>
  <si>
    <t>Clientes_Ativos</t>
  </si>
  <si>
    <t>VARIAÇÃO</t>
  </si>
  <si>
    <t>1º KPI</t>
  </si>
  <si>
    <t>2º KPI</t>
  </si>
  <si>
    <t>Nosso ticket Médio vem caindo no decorrer dos anos</t>
  </si>
  <si>
    <t>Conforme tabela ao lado e no gráfico anterior, o número de pedido subiu consideravelmente (161% no aumento de pedidos de 2012 para 2013)</t>
  </si>
  <si>
    <t>%</t>
  </si>
  <si>
    <t>3º KPI</t>
  </si>
  <si>
    <t>California é o estado que mais fez pedidos até agora.</t>
  </si>
  <si>
    <r>
      <t xml:space="preserve">A economia da Califórnia é tão vasta que, se fosse um país independente, ela seria hoje a </t>
    </r>
    <r>
      <rPr>
        <b/>
        <sz val="11"/>
        <color theme="1"/>
        <rFont val="Aptos Narrow"/>
        <family val="2"/>
        <scheme val="minor"/>
      </rPr>
      <t>4ª maior economia do mundo</t>
    </r>
    <r>
      <rPr>
        <sz val="11"/>
        <color theme="1"/>
        <rFont val="Aptos Narrow"/>
        <family val="2"/>
        <scheme val="minor"/>
      </rPr>
      <t>.</t>
    </r>
  </si>
  <si>
    <t>Recentemente, em 2024/2025, o PIB nominal do estado atingiu a marca de aproximadamente US$ 4,1 trilhões, superando o Japão</t>
  </si>
  <si>
    <t>4º KPI</t>
  </si>
  <si>
    <t>Podemos notar grande evolução na carteira de clientes ATIVOS da CIA</t>
  </si>
  <si>
    <t>Principalmente a partir de JUNHO de 2013</t>
  </si>
  <si>
    <t>Receita</t>
  </si>
  <si>
    <t>5º KPI</t>
  </si>
  <si>
    <t>Esse gráfico destaca a evolução (queda de ticket médio) por mês desde 2013, que é quando a CIA aumentou significativamente a receita</t>
  </si>
  <si>
    <t>(basta ver o ano de 2013 comparado com 2012, no primeiro KPI) e aumentou a base de clientes ativos, conforme KPI4</t>
  </si>
  <si>
    <t>Estudo de CASO: Análise de dados -SQL da base ADVENTUREWORKS2017. 
Trata-se de exercício voltado em usar a base de dados, montar algumas QUERYS e responder a perguntas simples de negócio, como os 5 KPIs listados abaixo.
Modelo simples, sendo SQL -&gt; EXCEL -&gt; Gráfico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</si>
</sst>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64" fontId="0" fillId="0" borderId="0" xfId="2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3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center" textRotation="0" wrapText="0" indent="0" justifyLastLine="0" shrinkToFit="0" readingOrder="0"/>
    </dxf>
    <dxf>
      <numFmt numFmtId="164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</a:t>
            </a:r>
            <a:r>
              <a:rPr lang="pt-BR" baseline="0"/>
              <a:t> x TOTAL anos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'KPI1'!$B$8</c:f>
              <c:strCache>
                <c:ptCount val="1"/>
                <c:pt idx="0">
                  <c:v>Vendas por ANO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'KPI1'!$A$9:$A$12</c:f>
              <c:numCache>
                <c:formatCode>General</c:formatCod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numCache>
            </c:numRef>
          </c:cat>
          <c:val>
            <c:numRef>
              <c:f>'KPI1'!$B$9:$B$12</c:f>
              <c:numCache>
                <c:formatCode>#,##0</c:formatCode>
                <c:ptCount val="4"/>
                <c:pt idx="0">
                  <c:v>5716</c:v>
                </c:pt>
                <c:pt idx="1">
                  <c:v>21689</c:v>
                </c:pt>
                <c:pt idx="2">
                  <c:v>56573</c:v>
                </c:pt>
                <c:pt idx="3">
                  <c:v>37339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B-4A99-B544-63575D8DA5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112127"/>
        <c:axId val="7111647"/>
      </c:barChart>
      <c:lineChart>
        <c:grouping val="standard"/>
        <c:varyColors val="0"/>
        <c:ser>
          <c:idx val="1"/>
          <c:order val="1"/>
          <c:tx>
            <c:strRef>
              <c:f>'KPI1'!$C$8</c:f>
              <c:strCache>
                <c:ptCount val="1"/>
                <c:pt idx="0">
                  <c:v>Valor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'KPI1'!$A$9:$A$12</c:f>
              <c:numCache>
                <c:formatCode>General</c:formatCod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numCache>
            </c:numRef>
          </c:cat>
          <c:val>
            <c:numRef>
              <c:f>'KPI1'!$C$9:$C$12</c:f>
              <c:numCache>
                <c:formatCode>_("R$"* #,##0.00_);_("R$"* \(#,##0.00\);_("R$"* "-"??_);_(@_)</c:formatCode>
                <c:ptCount val="4"/>
                <c:pt idx="0">
                  <c:v>12641672.212954</c:v>
                </c:pt>
                <c:pt idx="1">
                  <c:v>33524301.324434001</c:v>
                </c:pt>
                <c:pt idx="2">
                  <c:v>43622479.051634997</c:v>
                </c:pt>
                <c:pt idx="3">
                  <c:v>20057928.810865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8B-4A99-B544-63575D8DA5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86194736"/>
        <c:axId val="1486195216"/>
      </c:lineChart>
      <c:catAx>
        <c:axId val="148619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6195216"/>
        <c:crosses val="autoZero"/>
        <c:auto val="1"/>
        <c:lblAlgn val="ctr"/>
        <c:lblOffset val="100"/>
        <c:noMultiLvlLbl val="0"/>
      </c:catAx>
      <c:valAx>
        <c:axId val="148619521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6194736"/>
        <c:crosses val="autoZero"/>
        <c:crossBetween val="between"/>
      </c:valAx>
      <c:valAx>
        <c:axId val="7111647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12127"/>
        <c:crosses val="max"/>
        <c:crossBetween val="between"/>
      </c:valAx>
      <c:catAx>
        <c:axId val="71121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1116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'KPI1'!$D$36</c:f>
              <c:strCache>
                <c:ptCount val="1"/>
                <c:pt idx="0">
                  <c:v>Ticket Médio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'KPI1'!$A$37:$A$40</c:f>
              <c:numCache>
                <c:formatCode>General</c:formatCod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numCache>
            </c:numRef>
          </c:cat>
          <c:val>
            <c:numRef>
              <c:f>'KPI1'!$D$37:$D$40</c:f>
              <c:numCache>
                <c:formatCode>_("R$"* #,##0.00_);_("R$"* \(#,##0.00\);_("R$"* "-"??_);_(@_)</c:formatCode>
                <c:ptCount val="4"/>
                <c:pt idx="0">
                  <c:v>2211.629148</c:v>
                </c:pt>
                <c:pt idx="1">
                  <c:v>1545.682204</c:v>
                </c:pt>
                <c:pt idx="2">
                  <c:v>771.08300799999995</c:v>
                </c:pt>
                <c:pt idx="3">
                  <c:v>537.18441299999995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5-4855-9FA2-B6D5E0EA95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34287"/>
        <c:axId val="8539567"/>
      </c:barChart>
      <c:catAx>
        <c:axId val="853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39567"/>
        <c:crosses val="autoZero"/>
        <c:auto val="1"/>
        <c:lblAlgn val="ctr"/>
        <c:lblOffset val="100"/>
        <c:noMultiLvlLbl val="0"/>
      </c:catAx>
      <c:valAx>
        <c:axId val="8539567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3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de Pedidos por Estado - TOP 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'KPI1'!$B$54</c:f>
              <c:strCache>
                <c:ptCount val="1"/>
                <c:pt idx="0">
                  <c:v>total_pedidos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'KPI1'!$A$55:$A$59</c:f>
              <c:strCache>
                <c:ptCount val="5"/>
                <c:pt idx="0">
                  <c:v>California</c:v>
                </c:pt>
                <c:pt idx="1">
                  <c:v>Washington</c:v>
                </c:pt>
                <c:pt idx="2">
                  <c:v>England</c:v>
                </c:pt>
                <c:pt idx="3">
                  <c:v>New South Wales</c:v>
                </c:pt>
                <c:pt idx="4">
                  <c:v>British Columbia</c:v>
                </c:pt>
              </c:strCache>
            </c:strRef>
          </c:cat>
          <c:val>
            <c:numRef>
              <c:f>'KPI1'!$B$55:$B$59</c:f>
              <c:numCache>
                <c:formatCode>General</c:formatCode>
                <c:ptCount val="5"/>
                <c:pt idx="0">
                  <c:v>6921</c:v>
                </c:pt>
                <c:pt idx="1">
                  <c:v>3537</c:v>
                </c:pt>
                <c:pt idx="2">
                  <c:v>2902</c:v>
                </c:pt>
                <c:pt idx="3">
                  <c:v>2448</c:v>
                </c:pt>
                <c:pt idx="4">
                  <c:v>2388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2-457A-9C49-0F4DCC5790CF}"/>
            </c:ext>
          </c:extLst>
        </c:ser>
        <c:ser>
          <c:idx val="1"/>
          <c:order val="1"/>
          <c:tx>
            <c:strRef>
              <c:f>'KPI1'!$C$54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'KPI1'!$C$55:$C$59</c:f>
              <c:numCache>
                <c:formatCode>0.0%</c:formatCode>
                <c:ptCount val="5"/>
                <c:pt idx="0">
                  <c:v>0.24042102337860841</c:v>
                </c:pt>
                <c:pt idx="1">
                  <c:v>0.12286796123250078</c:v>
                </c:pt>
                <c:pt idx="2">
                  <c:v>0.10080939312884288</c:v>
                </c:pt>
                <c:pt idx="3">
                  <c:v>8.5038385382290624E-2</c:v>
                </c:pt>
                <c:pt idx="4">
                  <c:v>8.2954111230763891E-2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32-457A-9C49-0F4DCC5790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81662960"/>
        <c:axId val="1481664880"/>
      </c:barChart>
      <c:catAx>
        <c:axId val="1481662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1664880"/>
        <c:crosses val="autoZero"/>
        <c:auto val="1"/>
        <c:lblAlgn val="ctr"/>
        <c:lblOffset val="100"/>
        <c:noMultiLvlLbl val="0"/>
      </c:catAx>
      <c:valAx>
        <c:axId val="148166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166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 de clientes ATIVOS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'KPI1'!$B$115</c:f>
              <c:strCache>
                <c:ptCount val="1"/>
                <c:pt idx="0">
                  <c:v>Mes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'KPI1'!$A$116:$A$153</c:f>
              <c:numCache>
                <c:formatCode>General</c:formatCode>
                <c:ptCount val="38"/>
                <c:pt idx="0">
                  <c:v>2011</c:v>
                </c:pt>
                <c:pt idx="1">
                  <c:v>2011</c:v>
                </c:pt>
                <c:pt idx="2">
                  <c:v>2011</c:v>
                </c:pt>
                <c:pt idx="3">
                  <c:v>2011</c:v>
                </c:pt>
                <c:pt idx="4">
                  <c:v>2011</c:v>
                </c:pt>
                <c:pt idx="5">
                  <c:v>2011</c:v>
                </c:pt>
                <c:pt idx="6">
                  <c:v>2011</c:v>
                </c:pt>
                <c:pt idx="7">
                  <c:v>2011</c:v>
                </c:pt>
                <c:pt idx="8">
                  <c:v>2012</c:v>
                </c:pt>
                <c:pt idx="9">
                  <c:v>2012</c:v>
                </c:pt>
                <c:pt idx="10">
                  <c:v>2012</c:v>
                </c:pt>
                <c:pt idx="11">
                  <c:v>2012</c:v>
                </c:pt>
                <c:pt idx="12">
                  <c:v>2012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2012</c:v>
                </c:pt>
                <c:pt idx="18">
                  <c:v>2012</c:v>
                </c:pt>
                <c:pt idx="19">
                  <c:v>2012</c:v>
                </c:pt>
                <c:pt idx="20">
                  <c:v>2013</c:v>
                </c:pt>
                <c:pt idx="21">
                  <c:v>2013</c:v>
                </c:pt>
                <c:pt idx="22">
                  <c:v>2013</c:v>
                </c:pt>
                <c:pt idx="23">
                  <c:v>2013</c:v>
                </c:pt>
                <c:pt idx="24">
                  <c:v>2013</c:v>
                </c:pt>
                <c:pt idx="25">
                  <c:v>2013</c:v>
                </c:pt>
                <c:pt idx="26">
                  <c:v>2013</c:v>
                </c:pt>
                <c:pt idx="27">
                  <c:v>2013</c:v>
                </c:pt>
                <c:pt idx="28">
                  <c:v>2013</c:v>
                </c:pt>
                <c:pt idx="29">
                  <c:v>2013</c:v>
                </c:pt>
                <c:pt idx="30">
                  <c:v>2013</c:v>
                </c:pt>
                <c:pt idx="31">
                  <c:v>2013</c:v>
                </c:pt>
                <c:pt idx="32">
                  <c:v>2014</c:v>
                </c:pt>
                <c:pt idx="33">
                  <c:v>2014</c:v>
                </c:pt>
                <c:pt idx="34">
                  <c:v>2014</c:v>
                </c:pt>
                <c:pt idx="35">
                  <c:v>2014</c:v>
                </c:pt>
                <c:pt idx="36">
                  <c:v>2014</c:v>
                </c:pt>
                <c:pt idx="37">
                  <c:v>2014</c:v>
                </c:pt>
              </c:numCache>
            </c:numRef>
          </c:cat>
          <c:val>
            <c:numRef>
              <c:f>'KPI1'!$B$116:$B$153</c:f>
              <c:numCache>
                <c:formatCode>General</c:formatCode>
                <c:ptCount val="3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11</c:v>
                </c:pt>
                <c:pt idx="31">
                  <c:v>12</c:v>
                </c:pt>
                <c:pt idx="32">
                  <c:v>1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1-4263-AEE4-FF7D2580BF9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32957600"/>
        <c:axId val="832955200"/>
      </c:barChart>
      <c:lineChart>
        <c:grouping val="standard"/>
        <c:varyColors val="0"/>
        <c:ser>
          <c:idx val="1"/>
          <c:order val="1"/>
          <c:tx>
            <c:strRef>
              <c:f>'KPI1'!$C$115</c:f>
              <c:strCache>
                <c:ptCount val="1"/>
                <c:pt idx="0">
                  <c:v>Clientes_Ativos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'KPI1'!$A$116:$A$153</c:f>
              <c:numCache>
                <c:formatCode>General</c:formatCode>
                <c:ptCount val="38"/>
                <c:pt idx="0">
                  <c:v>2011</c:v>
                </c:pt>
                <c:pt idx="1">
                  <c:v>2011</c:v>
                </c:pt>
                <c:pt idx="2">
                  <c:v>2011</c:v>
                </c:pt>
                <c:pt idx="3">
                  <c:v>2011</c:v>
                </c:pt>
                <c:pt idx="4">
                  <c:v>2011</c:v>
                </c:pt>
                <c:pt idx="5">
                  <c:v>2011</c:v>
                </c:pt>
                <c:pt idx="6">
                  <c:v>2011</c:v>
                </c:pt>
                <c:pt idx="7">
                  <c:v>2011</c:v>
                </c:pt>
                <c:pt idx="8">
                  <c:v>2012</c:v>
                </c:pt>
                <c:pt idx="9">
                  <c:v>2012</c:v>
                </c:pt>
                <c:pt idx="10">
                  <c:v>2012</c:v>
                </c:pt>
                <c:pt idx="11">
                  <c:v>2012</c:v>
                </c:pt>
                <c:pt idx="12">
                  <c:v>2012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2012</c:v>
                </c:pt>
                <c:pt idx="18">
                  <c:v>2012</c:v>
                </c:pt>
                <c:pt idx="19">
                  <c:v>2012</c:v>
                </c:pt>
                <c:pt idx="20">
                  <c:v>2013</c:v>
                </c:pt>
                <c:pt idx="21">
                  <c:v>2013</c:v>
                </c:pt>
                <c:pt idx="22">
                  <c:v>2013</c:v>
                </c:pt>
                <c:pt idx="23">
                  <c:v>2013</c:v>
                </c:pt>
                <c:pt idx="24">
                  <c:v>2013</c:v>
                </c:pt>
                <c:pt idx="25">
                  <c:v>2013</c:v>
                </c:pt>
                <c:pt idx="26">
                  <c:v>2013</c:v>
                </c:pt>
                <c:pt idx="27">
                  <c:v>2013</c:v>
                </c:pt>
                <c:pt idx="28">
                  <c:v>2013</c:v>
                </c:pt>
                <c:pt idx="29">
                  <c:v>2013</c:v>
                </c:pt>
                <c:pt idx="30">
                  <c:v>2013</c:v>
                </c:pt>
                <c:pt idx="31">
                  <c:v>2013</c:v>
                </c:pt>
                <c:pt idx="32">
                  <c:v>2014</c:v>
                </c:pt>
                <c:pt idx="33">
                  <c:v>2014</c:v>
                </c:pt>
                <c:pt idx="34">
                  <c:v>2014</c:v>
                </c:pt>
                <c:pt idx="35">
                  <c:v>2014</c:v>
                </c:pt>
                <c:pt idx="36">
                  <c:v>2014</c:v>
                </c:pt>
                <c:pt idx="37">
                  <c:v>2014</c:v>
                </c:pt>
              </c:numCache>
            </c:numRef>
          </c:cat>
          <c:val>
            <c:numRef>
              <c:f>'KPI1'!$C$116:$C$153</c:f>
              <c:numCache>
                <c:formatCode>General</c:formatCode>
                <c:ptCount val="38"/>
                <c:pt idx="0">
                  <c:v>43</c:v>
                </c:pt>
                <c:pt idx="1">
                  <c:v>141</c:v>
                </c:pt>
                <c:pt idx="2">
                  <c:v>231</c:v>
                </c:pt>
                <c:pt idx="3">
                  <c:v>250</c:v>
                </c:pt>
                <c:pt idx="4">
                  <c:v>157</c:v>
                </c:pt>
                <c:pt idx="5">
                  <c:v>327</c:v>
                </c:pt>
                <c:pt idx="6">
                  <c:v>230</c:v>
                </c:pt>
                <c:pt idx="7">
                  <c:v>228</c:v>
                </c:pt>
                <c:pt idx="8">
                  <c:v>336</c:v>
                </c:pt>
                <c:pt idx="9">
                  <c:v>219</c:v>
                </c:pt>
                <c:pt idx="10">
                  <c:v>304</c:v>
                </c:pt>
                <c:pt idx="11">
                  <c:v>269</c:v>
                </c:pt>
                <c:pt idx="12">
                  <c:v>293</c:v>
                </c:pt>
                <c:pt idx="13">
                  <c:v>390</c:v>
                </c:pt>
                <c:pt idx="14">
                  <c:v>385</c:v>
                </c:pt>
                <c:pt idx="15">
                  <c:v>285</c:v>
                </c:pt>
                <c:pt idx="16">
                  <c:v>352</c:v>
                </c:pt>
                <c:pt idx="17">
                  <c:v>321</c:v>
                </c:pt>
                <c:pt idx="18">
                  <c:v>383</c:v>
                </c:pt>
                <c:pt idx="19">
                  <c:v>378</c:v>
                </c:pt>
                <c:pt idx="20">
                  <c:v>400</c:v>
                </c:pt>
                <c:pt idx="21">
                  <c:v>325</c:v>
                </c:pt>
                <c:pt idx="22">
                  <c:v>441</c:v>
                </c:pt>
                <c:pt idx="23">
                  <c:v>428</c:v>
                </c:pt>
                <c:pt idx="24">
                  <c:v>426</c:v>
                </c:pt>
                <c:pt idx="25">
                  <c:v>713</c:v>
                </c:pt>
                <c:pt idx="26">
                  <c:v>1675</c:v>
                </c:pt>
                <c:pt idx="27">
                  <c:v>1727</c:v>
                </c:pt>
                <c:pt idx="28">
                  <c:v>1741</c:v>
                </c:pt>
                <c:pt idx="29">
                  <c:v>1893</c:v>
                </c:pt>
                <c:pt idx="30">
                  <c:v>2041</c:v>
                </c:pt>
                <c:pt idx="31">
                  <c:v>1970</c:v>
                </c:pt>
                <c:pt idx="32">
                  <c:v>2073</c:v>
                </c:pt>
                <c:pt idx="33">
                  <c:v>1713</c:v>
                </c:pt>
                <c:pt idx="34">
                  <c:v>2342</c:v>
                </c:pt>
                <c:pt idx="35">
                  <c:v>2058</c:v>
                </c:pt>
                <c:pt idx="36">
                  <c:v>2350</c:v>
                </c:pt>
                <c:pt idx="37">
                  <c:v>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263-AEE4-FF7D2580B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2957600"/>
        <c:axId val="832955200"/>
      </c:lineChart>
      <c:catAx>
        <c:axId val="83295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2955200"/>
        <c:crosses val="autoZero"/>
        <c:auto val="1"/>
        <c:lblAlgn val="ctr"/>
        <c:lblOffset val="100"/>
        <c:noMultiLvlLbl val="0"/>
      </c:catAx>
      <c:valAx>
        <c:axId val="8329552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3295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</a:t>
            </a:r>
            <a:r>
              <a:rPr lang="pt-BR" baseline="0"/>
              <a:t> MÉDIA por cliente  - MENSAL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'KPI1'!$B$157</c:f>
              <c:strCache>
                <c:ptCount val="1"/>
                <c:pt idx="0">
                  <c:v>Mes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'KPI1'!$A$158:$A$195</c15:sqref>
                  </c15:fullRef>
                </c:ext>
              </c:extLst>
              <c:f>'KPI1'!$A$178:$A$195</c:f>
              <c:numCache>
                <c:formatCode>General</c:formatCode>
                <c:ptCount val="18"/>
                <c:pt idx="0">
                  <c:v>2013</c:v>
                </c:pt>
                <c:pt idx="1">
                  <c:v>2013</c:v>
                </c:pt>
                <c:pt idx="2">
                  <c:v>2013</c:v>
                </c:pt>
                <c:pt idx="3">
                  <c:v>2013</c:v>
                </c:pt>
                <c:pt idx="4">
                  <c:v>2013</c:v>
                </c:pt>
                <c:pt idx="5">
                  <c:v>2013</c:v>
                </c:pt>
                <c:pt idx="6">
                  <c:v>2013</c:v>
                </c:pt>
                <c:pt idx="7">
                  <c:v>2013</c:v>
                </c:pt>
                <c:pt idx="8">
                  <c:v>2013</c:v>
                </c:pt>
                <c:pt idx="9">
                  <c:v>2013</c:v>
                </c:pt>
                <c:pt idx="10">
                  <c:v>2013</c:v>
                </c:pt>
                <c:pt idx="11">
                  <c:v>2013</c:v>
                </c:pt>
                <c:pt idx="12">
                  <c:v>2014</c:v>
                </c:pt>
                <c:pt idx="13">
                  <c:v>2014</c:v>
                </c:pt>
                <c:pt idx="14">
                  <c:v>2014</c:v>
                </c:pt>
                <c:pt idx="15">
                  <c:v>2014</c:v>
                </c:pt>
                <c:pt idx="16">
                  <c:v>2014</c:v>
                </c:pt>
                <c:pt idx="17">
                  <c:v>2014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'KPI1'!$B$158:$B$195</c15:sqref>
                  </c15:fullRef>
                </c:ext>
              </c:extLst>
              <c:f>'KPI1'!$B$178:$B$195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9-4592-B1A9-216B21100F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2548992"/>
        <c:axId val="52544192"/>
      </c:barChart>
      <c:lineChart>
        <c:grouping val="standard"/>
        <c:varyColors val="0"/>
        <c:ser>
          <c:idx val="1"/>
          <c:order val="1"/>
          <c:tx>
            <c:strRef>
              <c:f>'KPI1'!$C$157</c:f>
              <c:strCache>
                <c:ptCount val="1"/>
                <c:pt idx="0">
                  <c:v> Receita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'KPI1'!$A$158:$A$195</c15:sqref>
                  </c15:fullRef>
                </c:ext>
              </c:extLst>
              <c:f>'KPI1'!$A$178:$A$195</c:f>
              <c:numCache>
                <c:formatCode>General</c:formatCode>
                <c:ptCount val="18"/>
                <c:pt idx="0">
                  <c:v>2013</c:v>
                </c:pt>
                <c:pt idx="1">
                  <c:v>2013</c:v>
                </c:pt>
                <c:pt idx="2">
                  <c:v>2013</c:v>
                </c:pt>
                <c:pt idx="3">
                  <c:v>2013</c:v>
                </c:pt>
                <c:pt idx="4">
                  <c:v>2013</c:v>
                </c:pt>
                <c:pt idx="5">
                  <c:v>2013</c:v>
                </c:pt>
                <c:pt idx="6">
                  <c:v>2013</c:v>
                </c:pt>
                <c:pt idx="7">
                  <c:v>2013</c:v>
                </c:pt>
                <c:pt idx="8">
                  <c:v>2013</c:v>
                </c:pt>
                <c:pt idx="9">
                  <c:v>2013</c:v>
                </c:pt>
                <c:pt idx="10">
                  <c:v>2013</c:v>
                </c:pt>
                <c:pt idx="11">
                  <c:v>2013</c:v>
                </c:pt>
                <c:pt idx="12">
                  <c:v>2014</c:v>
                </c:pt>
                <c:pt idx="13">
                  <c:v>2014</c:v>
                </c:pt>
                <c:pt idx="14">
                  <c:v>2014</c:v>
                </c:pt>
                <c:pt idx="15">
                  <c:v>2014</c:v>
                </c:pt>
                <c:pt idx="16">
                  <c:v>2014</c:v>
                </c:pt>
                <c:pt idx="17">
                  <c:v>2014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'KPI1'!$C$158:$C$195</c15:sqref>
                  </c15:fullRef>
                </c:ext>
              </c:extLst>
              <c:f>'KPI1'!$C$178:$C$195</c:f>
              <c:numCache>
                <c:formatCode>_("R$"* #,##0.00_);_("R$"* \(#,##0.00\);_("R$"* "-"??_);_(@_)</c:formatCode>
                <c:ptCount val="18"/>
                <c:pt idx="0">
                  <c:v>5850.1538</c:v>
                </c:pt>
                <c:pt idx="1">
                  <c:v>8000.6733999999997</c:v>
                </c:pt>
                <c:pt idx="2">
                  <c:v>8688.4488000000001</c:v>
                </c:pt>
                <c:pt idx="3">
                  <c:v>6637.1755999999996</c:v>
                </c:pt>
                <c:pt idx="4">
                  <c:v>8587.0537999999997</c:v>
                </c:pt>
                <c:pt idx="5">
                  <c:v>8031.2275</c:v>
                </c:pt>
                <c:pt idx="6">
                  <c:v>3296.6212999999998</c:v>
                </c:pt>
                <c:pt idx="7">
                  <c:v>2162.1152000000002</c:v>
                </c:pt>
                <c:pt idx="8">
                  <c:v>2919.8766999999998</c:v>
                </c:pt>
                <c:pt idx="9">
                  <c:v>2839.0785999999998</c:v>
                </c:pt>
                <c:pt idx="10">
                  <c:v>1810.2243000000001</c:v>
                </c:pt>
                <c:pt idx="11">
                  <c:v>2315.0137</c:v>
                </c:pt>
                <c:pt idx="12">
                  <c:v>2314.5333999999998</c:v>
                </c:pt>
                <c:pt idx="13">
                  <c:v>862.93820000000005</c:v>
                </c:pt>
                <c:pt idx="14">
                  <c:v>3457.3168999999998</c:v>
                </c:pt>
                <c:pt idx="15">
                  <c:v>964.95920000000001</c:v>
                </c:pt>
                <c:pt idx="16">
                  <c:v>2555.8226</c:v>
                </c:pt>
                <c:pt idx="17">
                  <c:v>60.302300000000002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9-4592-B1A9-216B21100F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2548992"/>
        <c:axId val="52544192"/>
      </c:lineChart>
      <c:catAx>
        <c:axId val="5254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44192"/>
        <c:crosses val="autoZero"/>
        <c:auto val="1"/>
        <c:lblAlgn val="ctr"/>
        <c:lblOffset val="100"/>
        <c:noMultiLvlLbl val="0"/>
      </c:catAx>
      <c:valAx>
        <c:axId val="525441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254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100012</xdr:rowOff>
    </xdr:from>
    <xdr:to>
      <xdr:col>14</xdr:col>
      <xdr:colOff>533400</xdr:colOff>
      <xdr:row>28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DD1169-DC71-5BE3-4AA5-F62688919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35</xdr:row>
      <xdr:rowOff>47625</xdr:rowOff>
    </xdr:from>
    <xdr:to>
      <xdr:col>12</xdr:col>
      <xdr:colOff>333375</xdr:colOff>
      <xdr:row>49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8B433B-C70C-4793-8F2B-4FED528AA3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19050</xdr:colOff>
      <xdr:row>57</xdr:row>
      <xdr:rowOff>114300</xdr:rowOff>
    </xdr:from>
    <xdr:to>
      <xdr:col>12</xdr:col>
      <xdr:colOff>323850</xdr:colOff>
      <xdr:row>71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B6888C0-5B71-405A-9283-54BE6DF3C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285750</xdr:colOff>
      <xdr:row>118</xdr:row>
      <xdr:rowOff>119062</xdr:rowOff>
    </xdr:from>
    <xdr:to>
      <xdr:col>19</xdr:col>
      <xdr:colOff>76200</xdr:colOff>
      <xdr:row>135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14DD978-1E4D-F6DB-22CB-639D001F9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285750</xdr:colOff>
      <xdr:row>159</xdr:row>
      <xdr:rowOff>157162</xdr:rowOff>
    </xdr:from>
    <xdr:to>
      <xdr:col>19</xdr:col>
      <xdr:colOff>476250</xdr:colOff>
      <xdr:row>174</xdr:row>
      <xdr:rowOff>42862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EB4E7E1-EEF3-5184-7DA2-DE2CEE83B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DB927A8-B196-46C2-A11E-24304254E07E}" autoFormatId="16" applyNumberFormats="0" applyBorderFormats="0" applyFontFormats="0" applyPatternFormats="0" applyAlignmentFormats="0" applyWidthHeightFormats="0">
  <queryTableRefresh nextId="4">
    <queryTableFields count="3">
      <queryTableField id="1" name="ANO" tableColumnId="1"/>
      <queryTableField id="2" name="Vendas por ANO" tableColumnId="2"/>
      <queryTableField id="3" name="Valor Total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F53E4DFA-9E5F-4FCF-913C-E68590C59B7C}" autoFormatId="16" applyNumberFormats="0" applyBorderFormats="0" applyFontFormats="0" applyPatternFormats="0" applyAlignmentFormats="0" applyWidthHeightFormats="0">
  <queryTableRefresh nextId="5">
    <queryTableFields count="4">
      <queryTableField id="1" name="ANO" tableColumnId="1"/>
      <queryTableField id="2" name="Valor Total" tableColumnId="2"/>
      <queryTableField id="3" name="Pedidos por ANO" tableColumnId="3"/>
      <queryTableField id="4" name="Ticket Médio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4" xr16:uid="{F7DF028F-C498-4CF5-884E-25F2C7D0868C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Estado" tableColumnId="1"/>
      <queryTableField id="2" name="total_pedidos" tableColumnId="2"/>
      <queryTableField id="3" dataBound="0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5" xr16:uid="{DE339CCD-AD63-4445-BE63-9D236CCE99F7}" autoFormatId="16" applyNumberFormats="0" applyBorderFormats="0" applyFontFormats="0" applyPatternFormats="0" applyAlignmentFormats="0" applyWidthHeightFormats="0">
  <queryTableRefresh nextId="4">
    <queryTableFields count="3">
      <queryTableField id="1" name="Ano" tableColumnId="1"/>
      <queryTableField id="2" name="Mes" tableColumnId="2"/>
      <queryTableField id="3" name="Clientes_Ativo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6" xr16:uid="{114F8501-B4B9-4996-8001-869F2EB9AE69}" autoFormatId="16" applyNumberFormats="0" applyBorderFormats="0" applyFontFormats="0" applyPatternFormats="0" applyAlignmentFormats="0" applyWidthHeightFormats="0">
  <queryTableRefresh nextId="4">
    <queryTableFields count="3">
      <queryTableField id="1" name="Ano" tableColumnId="1"/>
      <queryTableField id="2" name="Mes" tableColumnId="2"/>
      <queryTableField id="3" name="Receita_Por_Client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1EE8E9-40B5-42BB-9BE8-6032DF3759A3}" name="Consulta1" displayName="Consulta1" ref="A8:C12" tableType="queryTable" totalsRowShown="0" headerRowDxfId="29" dataDxfId="28">
  <autoFilter ref="A8:C12" xr:uid="{921EE8E9-40B5-42BB-9BE8-6032DF3759A3}"/>
  <tableColumns count="3">
    <tableColumn id="1" xr3:uid="{6976F329-974B-4DB2-AF06-D821CFE20CED}" uniqueName="1" name="ANO" queryTableFieldId="1" dataDxfId="27"/>
    <tableColumn id="2" xr3:uid="{88F96143-CAA7-4520-8EF0-296057EC06FA}" uniqueName="2" name="Vendas por ANO" queryTableFieldId="2" dataDxfId="26"/>
    <tableColumn id="3" xr3:uid="{314723BB-3848-4453-910A-EF0B7DC4FB1D}" uniqueName="3" name="Valor Total" queryTableFieldId="3" dataDxfId="25" dataCellStyle="Moed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B736EA-093D-4561-B87B-E875320EE724}" name="Consulta3" displayName="Consulta3" ref="A36:D40" tableType="queryTable" totalsRowShown="0" headerRowDxfId="24" dataDxfId="23">
  <autoFilter ref="A36:D40" xr:uid="{18B736EA-093D-4561-B87B-E875320EE724}"/>
  <tableColumns count="4">
    <tableColumn id="1" xr3:uid="{8D6B4A8A-F2A4-43A5-929E-8F440814E9B3}" uniqueName="1" name="ANO" queryTableFieldId="1" dataDxfId="22"/>
    <tableColumn id="2" xr3:uid="{83EF5D8C-181D-43E8-8456-3262FDD5FFFF}" uniqueName="2" name="Valor Total" queryTableFieldId="2" dataDxfId="21" dataCellStyle="Moeda"/>
    <tableColumn id="3" xr3:uid="{36EF9B20-34BD-43B0-BBEC-FA03593CC05C}" uniqueName="3" name="Pedidos por ANO" queryTableFieldId="3" dataDxfId="20"/>
    <tableColumn id="4" xr3:uid="{5D81D088-1251-4465-BA30-365E2B2528B5}" uniqueName="4" name="Ticket Médio" queryTableFieldId="4" dataDxfId="19" dataCellStyle="Moeda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48D9C1-4B07-4883-91DA-56FE9F631632}" name="Consulta4" displayName="Consulta4" ref="A54:C110" tableType="queryTable" totalsRowCount="1" headerRowDxfId="18" dataDxfId="17" totalsRowDxfId="16">
  <autoFilter ref="A54:C109" xr:uid="{5F48D9C1-4B07-4883-91DA-56FE9F631632}"/>
  <tableColumns count="3">
    <tableColumn id="1" xr3:uid="{49ED9D3D-A00B-4EF4-ACDB-3E7A29B44A43}" uniqueName="1" name="Estado" queryTableFieldId="1" dataDxfId="15" totalsRowDxfId="14"/>
    <tableColumn id="2" xr3:uid="{5E673782-7C96-41BC-8B95-7CDC258C7D07}" uniqueName="2" name="total_pedidos" totalsRowFunction="custom" queryTableFieldId="2" dataDxfId="13" totalsRowDxfId="12">
      <totalsRowFormula>SUM(Consulta4[total_pedidos])</totalsRowFormula>
    </tableColumn>
    <tableColumn id="3" xr3:uid="{692FAE55-D8F0-47FD-88A2-9C9120220157}" uniqueName="3" name="%" queryTableFieldId="3" dataDxfId="11" totalsRowDxfId="10" dataCellStyle="Porcentagem" totalsRowCellStyle="Porcentagem">
      <calculatedColumnFormula>Consulta4[[#This Row],[total_pedidos]]/Consulta4[[#Totals],[total_pedidos]]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6DE061-312A-4467-BA63-2137B0AE4FDF}" name="Consulta5" displayName="Consulta5" ref="A115:C153" tableType="queryTable" totalsRowShown="0" headerRowDxfId="9" dataDxfId="8">
  <autoFilter ref="A115:C153" xr:uid="{266DE061-312A-4467-BA63-2137B0AE4FDF}"/>
  <tableColumns count="3">
    <tableColumn id="1" xr3:uid="{1AF9664F-1C48-4363-9F0A-6940E8EBCD8A}" uniqueName="1" name="Ano" queryTableFieldId="1" dataDxfId="7"/>
    <tableColumn id="2" xr3:uid="{6D1B0E36-8312-4D16-8983-4848FBA820C4}" uniqueName="2" name="Mes" queryTableFieldId="2" dataDxfId="6"/>
    <tableColumn id="3" xr3:uid="{FF3E8A36-6B73-4259-9CD3-9C70EA449798}" uniqueName="3" name="Clientes_Ativos" queryTableFieldId="3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C1AEE8-97E1-4458-B36B-E2F5A5E160EF}" name="Consulta6" displayName="Consulta6" ref="A157:C195" tableType="queryTable" totalsRowShown="0" headerRowDxfId="4" dataDxfId="3">
  <autoFilter ref="A157:C195" xr:uid="{C9C1AEE8-97E1-4458-B36B-E2F5A5E160EF}"/>
  <tableColumns count="3">
    <tableColumn id="1" xr3:uid="{AC198A46-B49E-4C7B-8D4C-2A04398EF2BB}" uniqueName="1" name="Ano" queryTableFieldId="1" dataDxfId="2"/>
    <tableColumn id="2" xr3:uid="{D8321F04-4A20-431C-85E8-A31A6B68E8A7}" uniqueName="2" name="Mes" queryTableFieldId="2" dataDxfId="1"/>
    <tableColumn id="3" xr3:uid="{55ACF13F-40D3-42A3-88CD-7C5DB74C775A}" uniqueName="3" name="Receita" queryTableFieldId="3" dataDxfId="0" dataCellStyle="Moed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F4465-220A-4A6B-816A-3374EC0B4EB7}">
  <dimension ref="A1:X195"/>
  <sheetViews>
    <sheetView showGridLines="0" tabSelected="1" workbookViewId="0">
      <selection activeCell="Q10" sqref="Q10"/>
    </sheetView>
  </sheetViews>
  <sheetFormatPr defaultRowHeight="15" x14ac:dyDescent="0.25"/>
  <cols>
    <col min="1" max="1" width="13.85546875" style="3" customWidth="1"/>
    <col min="2" max="2" width="17.85546875" style="3" bestFit="1" customWidth="1"/>
    <col min="3" max="3" width="16.85546875" style="3" bestFit="1" customWidth="1"/>
    <col min="4" max="4" width="17" style="1" bestFit="1" customWidth="1"/>
    <col min="5" max="5" width="9.140625" style="7"/>
    <col min="6" max="16" width="9.140625" style="1"/>
    <col min="17" max="18" width="16.85546875" style="1" bestFit="1" customWidth="1"/>
    <col min="19" max="16384" width="9.140625" style="1"/>
  </cols>
  <sheetData>
    <row r="1" spans="1:24" x14ac:dyDescent="0.25">
      <c r="A1" s="14" t="s">
        <v>85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24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8" spans="1:24" x14ac:dyDescent="0.25">
      <c r="A8" s="3" t="s">
        <v>0</v>
      </c>
      <c r="B8" s="3" t="s">
        <v>1</v>
      </c>
      <c r="C8" s="3" t="s">
        <v>2</v>
      </c>
      <c r="E8" s="8" t="s">
        <v>69</v>
      </c>
      <c r="F8" s="8" t="s">
        <v>3</v>
      </c>
    </row>
    <row r="9" spans="1:24" x14ac:dyDescent="0.25">
      <c r="A9" s="3">
        <v>2011</v>
      </c>
      <c r="B9" s="4">
        <v>5716</v>
      </c>
      <c r="C9" s="5">
        <v>12641672.212954</v>
      </c>
      <c r="F9" s="7" t="s">
        <v>4</v>
      </c>
      <c r="P9" s="1">
        <v>2014</v>
      </c>
      <c r="Q9" s="5">
        <v>20057928.809999999</v>
      </c>
    </row>
    <row r="10" spans="1:24" x14ac:dyDescent="0.25">
      <c r="A10" s="3">
        <v>2012</v>
      </c>
      <c r="B10" s="4">
        <v>21689</v>
      </c>
      <c r="C10" s="5">
        <v>33524301.324434001</v>
      </c>
      <c r="F10" s="7" t="s">
        <v>5</v>
      </c>
      <c r="P10" s="1">
        <v>2013</v>
      </c>
      <c r="Q10" s="2">
        <v>43622479.049999997</v>
      </c>
    </row>
    <row r="11" spans="1:24" x14ac:dyDescent="0.25">
      <c r="A11" s="3">
        <v>2013</v>
      </c>
      <c r="B11" s="4">
        <v>56573</v>
      </c>
      <c r="C11" s="5">
        <v>43622479.051634997</v>
      </c>
      <c r="P11" s="1" t="s">
        <v>68</v>
      </c>
      <c r="Q11" s="6">
        <f>Q9/$Q$10</f>
        <v>0.45980717388871095</v>
      </c>
    </row>
    <row r="12" spans="1:24" x14ac:dyDescent="0.25">
      <c r="A12" s="3">
        <v>2014</v>
      </c>
      <c r="B12" s="4">
        <v>37339</v>
      </c>
      <c r="C12" s="5">
        <v>20057928.810865</v>
      </c>
    </row>
    <row r="30" spans="1:17" s="12" customFormat="1" x14ac:dyDescent="0.25">
      <c r="A30" s="11"/>
      <c r="B30" s="11"/>
      <c r="C30" s="11"/>
      <c r="E30" s="13"/>
    </row>
    <row r="31" spans="1:17" x14ac:dyDescent="0.25">
      <c r="Q31" s="1">
        <v>56573</v>
      </c>
    </row>
    <row r="32" spans="1:17" x14ac:dyDescent="0.25">
      <c r="Q32" s="1">
        <v>21689</v>
      </c>
    </row>
    <row r="33" spans="1:17" x14ac:dyDescent="0.25">
      <c r="E33" s="8" t="s">
        <v>70</v>
      </c>
      <c r="F33" s="8" t="s">
        <v>3</v>
      </c>
      <c r="Q33" s="6">
        <f>Q31/Q32</f>
        <v>2.6083729079256766</v>
      </c>
    </row>
    <row r="34" spans="1:17" x14ac:dyDescent="0.25">
      <c r="F34" s="7" t="s">
        <v>71</v>
      </c>
    </row>
    <row r="35" spans="1:17" x14ac:dyDescent="0.25">
      <c r="F35" s="7" t="s">
        <v>72</v>
      </c>
    </row>
    <row r="36" spans="1:17" x14ac:dyDescent="0.25">
      <c r="A36" s="1" t="s">
        <v>0</v>
      </c>
      <c r="B36" s="1" t="s">
        <v>2</v>
      </c>
      <c r="C36" s="1" t="s">
        <v>6</v>
      </c>
      <c r="D36" s="1" t="s">
        <v>7</v>
      </c>
    </row>
    <row r="37" spans="1:17" x14ac:dyDescent="0.25">
      <c r="A37" s="1">
        <v>2011</v>
      </c>
      <c r="B37" s="2">
        <v>12641672.212954</v>
      </c>
      <c r="C37" s="1">
        <v>5716</v>
      </c>
      <c r="D37" s="2">
        <v>2211.629148</v>
      </c>
    </row>
    <row r="38" spans="1:17" x14ac:dyDescent="0.25">
      <c r="A38" s="1">
        <v>2012</v>
      </c>
      <c r="B38" s="2">
        <v>33524301.324434001</v>
      </c>
      <c r="C38" s="1">
        <v>21689</v>
      </c>
      <c r="D38" s="2">
        <v>1545.682204</v>
      </c>
    </row>
    <row r="39" spans="1:17" x14ac:dyDescent="0.25">
      <c r="A39" s="1">
        <v>2013</v>
      </c>
      <c r="B39" s="2">
        <v>43622479.051634997</v>
      </c>
      <c r="C39" s="1">
        <v>56573</v>
      </c>
      <c r="D39" s="2">
        <v>771.08300799999995</v>
      </c>
    </row>
    <row r="40" spans="1:17" x14ac:dyDescent="0.25">
      <c r="A40" s="1">
        <v>2014</v>
      </c>
      <c r="B40" s="2">
        <v>20057928.810865</v>
      </c>
      <c r="C40" s="1">
        <v>37339</v>
      </c>
      <c r="D40" s="2">
        <v>537.18441299999995</v>
      </c>
    </row>
    <row r="52" spans="1:6" s="12" customFormat="1" x14ac:dyDescent="0.25">
      <c r="A52" s="11"/>
      <c r="B52" s="11"/>
      <c r="C52" s="11"/>
      <c r="E52" s="13"/>
    </row>
    <row r="54" spans="1:6" x14ac:dyDescent="0.25">
      <c r="A54" s="3" t="s">
        <v>8</v>
      </c>
      <c r="B54" s="3" t="s">
        <v>9</v>
      </c>
      <c r="C54" s="9" t="s">
        <v>73</v>
      </c>
      <c r="E54" s="10" t="s">
        <v>74</v>
      </c>
      <c r="F54" s="8" t="s">
        <v>3</v>
      </c>
    </row>
    <row r="55" spans="1:6" x14ac:dyDescent="0.25">
      <c r="A55" s="3" t="s">
        <v>10</v>
      </c>
      <c r="B55" s="3">
        <v>6921</v>
      </c>
      <c r="C55" s="9">
        <f>Consulta4[[#This Row],[total_pedidos]]/Consulta4[[#Totals],[total_pedidos]]</f>
        <v>0.24042102337860841</v>
      </c>
      <c r="F55" s="7" t="s">
        <v>75</v>
      </c>
    </row>
    <row r="56" spans="1:6" x14ac:dyDescent="0.25">
      <c r="A56" s="3" t="s">
        <v>11</v>
      </c>
      <c r="B56" s="3">
        <v>3537</v>
      </c>
      <c r="C56" s="9">
        <f>Consulta4[[#This Row],[total_pedidos]]/Consulta4[[#Totals],[total_pedidos]]</f>
        <v>0.12286796123250078</v>
      </c>
      <c r="F56" t="s">
        <v>76</v>
      </c>
    </row>
    <row r="57" spans="1:6" x14ac:dyDescent="0.25">
      <c r="A57" s="3" t="s">
        <v>12</v>
      </c>
      <c r="B57" s="3">
        <v>2902</v>
      </c>
      <c r="C57" s="9">
        <f>Consulta4[[#This Row],[total_pedidos]]/Consulta4[[#Totals],[total_pedidos]]</f>
        <v>0.10080939312884288</v>
      </c>
      <c r="F57" t="s">
        <v>77</v>
      </c>
    </row>
    <row r="58" spans="1:6" x14ac:dyDescent="0.25">
      <c r="A58" s="3" t="s">
        <v>13</v>
      </c>
      <c r="B58" s="3">
        <v>2448</v>
      </c>
      <c r="C58" s="9">
        <f>Consulta4[[#This Row],[total_pedidos]]/Consulta4[[#Totals],[total_pedidos]]</f>
        <v>8.5038385382290624E-2</v>
      </c>
      <c r="F58"/>
    </row>
    <row r="59" spans="1:6" x14ac:dyDescent="0.25">
      <c r="A59" s="3" t="s">
        <v>14</v>
      </c>
      <c r="B59" s="3">
        <v>2388</v>
      </c>
      <c r="C59" s="9">
        <f>Consulta4[[#This Row],[total_pedidos]]/Consulta4[[#Totals],[total_pedidos]]</f>
        <v>8.2954111230763891E-2</v>
      </c>
    </row>
    <row r="60" spans="1:6" x14ac:dyDescent="0.25">
      <c r="A60" s="3" t="s">
        <v>15</v>
      </c>
      <c r="B60" s="3">
        <v>1675</v>
      </c>
      <c r="C60" s="9">
        <f>Consulta4[[#This Row],[total_pedidos]]/Consulta4[[#Totals],[total_pedidos]]</f>
        <v>5.8185986730121236E-2</v>
      </c>
    </row>
    <row r="61" spans="1:6" x14ac:dyDescent="0.25">
      <c r="A61" s="3" t="s">
        <v>16</v>
      </c>
      <c r="B61" s="3">
        <v>1341</v>
      </c>
      <c r="C61" s="9">
        <f>Consulta4[[#This Row],[total_pedidos]]/Consulta4[[#Totals],[total_pedidos]]</f>
        <v>4.6583527286622434E-2</v>
      </c>
    </row>
    <row r="62" spans="1:6" x14ac:dyDescent="0.25">
      <c r="A62" s="3" t="s">
        <v>17</v>
      </c>
      <c r="B62" s="3">
        <v>1225</v>
      </c>
      <c r="C62" s="9">
        <f>Consulta4[[#This Row],[total_pedidos]]/Consulta4[[#Totals],[total_pedidos]]</f>
        <v>4.2553930593670755E-2</v>
      </c>
    </row>
    <row r="63" spans="1:6" x14ac:dyDescent="0.25">
      <c r="A63" s="3" t="s">
        <v>18</v>
      </c>
      <c r="B63" s="3">
        <v>687</v>
      </c>
      <c r="C63" s="9">
        <f>Consulta4[[#This Row],[total_pedidos]]/Consulta4[[#Totals],[total_pedidos]]</f>
        <v>2.3864939034981068E-2</v>
      </c>
    </row>
    <row r="64" spans="1:6" x14ac:dyDescent="0.25">
      <c r="A64" s="3" t="s">
        <v>19</v>
      </c>
      <c r="B64" s="3">
        <v>609</v>
      </c>
      <c r="C64" s="9">
        <f>Consulta4[[#This Row],[total_pedidos]]/Consulta4[[#Totals],[total_pedidos]]</f>
        <v>2.1155382637996319E-2</v>
      </c>
    </row>
    <row r="65" spans="1:3" x14ac:dyDescent="0.25">
      <c r="A65" s="3" t="s">
        <v>20</v>
      </c>
      <c r="B65" s="3">
        <v>608</v>
      </c>
      <c r="C65" s="9">
        <f>Consulta4[[#This Row],[total_pedidos]]/Consulta4[[#Totals],[total_pedidos]]</f>
        <v>2.1120644735470873E-2</v>
      </c>
    </row>
    <row r="66" spans="1:3" x14ac:dyDescent="0.25">
      <c r="A66" s="3" t="s">
        <v>21</v>
      </c>
      <c r="B66" s="3">
        <v>603</v>
      </c>
      <c r="C66" s="9">
        <f>Consulta4[[#This Row],[total_pedidos]]/Consulta4[[#Totals],[total_pedidos]]</f>
        <v>2.0946955222843646E-2</v>
      </c>
    </row>
    <row r="67" spans="1:3" x14ac:dyDescent="0.25">
      <c r="A67" s="3" t="s">
        <v>22</v>
      </c>
      <c r="B67" s="3">
        <v>494</v>
      </c>
      <c r="C67" s="9">
        <f>Consulta4[[#This Row],[total_pedidos]]/Consulta4[[#Totals],[total_pedidos]]</f>
        <v>1.7160523847570084E-2</v>
      </c>
    </row>
    <row r="68" spans="1:3" x14ac:dyDescent="0.25">
      <c r="A68" s="3" t="s">
        <v>23</v>
      </c>
      <c r="B68" s="3">
        <v>487</v>
      </c>
      <c r="C68" s="9">
        <f>Consulta4[[#This Row],[total_pedidos]]/Consulta4[[#Totals],[total_pedidos]]</f>
        <v>1.6917358529891964E-2</v>
      </c>
    </row>
    <row r="69" spans="1:3" x14ac:dyDescent="0.25">
      <c r="A69" s="3" t="s">
        <v>24</v>
      </c>
      <c r="B69" s="3">
        <v>440</v>
      </c>
      <c r="C69" s="9">
        <f>Consulta4[[#This Row],[total_pedidos]]/Consulta4[[#Totals],[total_pedidos]]</f>
        <v>1.5284677111196026E-2</v>
      </c>
    </row>
    <row r="70" spans="1:3" x14ac:dyDescent="0.25">
      <c r="A70" s="3" t="s">
        <v>25</v>
      </c>
      <c r="B70" s="3">
        <v>376</v>
      </c>
      <c r="C70" s="9">
        <f>Consulta4[[#This Row],[total_pedidos]]/Consulta4[[#Totals],[total_pedidos]]</f>
        <v>1.3061451349567514E-2</v>
      </c>
    </row>
    <row r="71" spans="1:3" x14ac:dyDescent="0.25">
      <c r="A71" s="3" t="s">
        <v>26</v>
      </c>
      <c r="B71" s="3">
        <v>367</v>
      </c>
      <c r="C71" s="9">
        <f>Consulta4[[#This Row],[total_pedidos]]/Consulta4[[#Totals],[total_pedidos]]</f>
        <v>1.2748810226838504E-2</v>
      </c>
    </row>
    <row r="72" spans="1:3" x14ac:dyDescent="0.25">
      <c r="A72" s="3" t="s">
        <v>27</v>
      </c>
      <c r="B72" s="3">
        <v>324</v>
      </c>
      <c r="C72" s="9">
        <f>Consulta4[[#This Row],[total_pedidos]]/Consulta4[[#Totals],[total_pedidos]]</f>
        <v>1.1255080418244346E-2</v>
      </c>
    </row>
    <row r="73" spans="1:3" x14ac:dyDescent="0.25">
      <c r="A73" s="3" t="s">
        <v>28</v>
      </c>
      <c r="B73" s="3">
        <v>272</v>
      </c>
      <c r="C73" s="9">
        <f>Consulta4[[#This Row],[total_pedidos]]/Consulta4[[#Totals],[total_pedidos]]</f>
        <v>9.44870948692118E-3</v>
      </c>
    </row>
    <row r="74" spans="1:3" x14ac:dyDescent="0.25">
      <c r="A74" s="3" t="s">
        <v>29</v>
      </c>
      <c r="B74" s="3">
        <v>241</v>
      </c>
      <c r="C74" s="9">
        <f>Consulta4[[#This Row],[total_pedidos]]/Consulta4[[#Totals],[total_pedidos]]</f>
        <v>8.3718345086323687E-3</v>
      </c>
    </row>
    <row r="75" spans="1:3" x14ac:dyDescent="0.25">
      <c r="A75" s="3" t="s">
        <v>30</v>
      </c>
      <c r="B75" s="3">
        <v>159</v>
      </c>
      <c r="C75" s="9">
        <f>Consulta4[[#This Row],[total_pedidos]]/Consulta4[[#Totals],[total_pedidos]]</f>
        <v>5.5233265015458364E-3</v>
      </c>
    </row>
    <row r="76" spans="1:3" x14ac:dyDescent="0.25">
      <c r="A76" s="3" t="s">
        <v>31</v>
      </c>
      <c r="B76" s="3">
        <v>95</v>
      </c>
      <c r="C76" s="9">
        <f>Consulta4[[#This Row],[total_pedidos]]/Consulta4[[#Totals],[total_pedidos]]</f>
        <v>3.3001007399173238E-3</v>
      </c>
    </row>
    <row r="77" spans="1:3" x14ac:dyDescent="0.25">
      <c r="A77" s="3" t="s">
        <v>32</v>
      </c>
      <c r="B77" s="3">
        <v>91</v>
      </c>
      <c r="C77" s="9">
        <f>Consulta4[[#This Row],[total_pedidos]]/Consulta4[[#Totals],[total_pedidos]]</f>
        <v>3.1611491298155418E-3</v>
      </c>
    </row>
    <row r="78" spans="1:3" x14ac:dyDescent="0.25">
      <c r="A78" s="3" t="s">
        <v>33</v>
      </c>
      <c r="B78" s="3">
        <v>91</v>
      </c>
      <c r="C78" s="9">
        <f>Consulta4[[#This Row],[total_pedidos]]/Consulta4[[#Totals],[total_pedidos]]</f>
        <v>3.1611491298155418E-3</v>
      </c>
    </row>
    <row r="79" spans="1:3" x14ac:dyDescent="0.25">
      <c r="A79" s="3" t="s">
        <v>34</v>
      </c>
      <c r="B79" s="3">
        <v>54</v>
      </c>
      <c r="C79" s="9">
        <f>Consulta4[[#This Row],[total_pedidos]]/Consulta4[[#Totals],[total_pedidos]]</f>
        <v>1.8758467363740577E-3</v>
      </c>
    </row>
    <row r="80" spans="1:3" x14ac:dyDescent="0.25">
      <c r="A80" s="3" t="s">
        <v>35</v>
      </c>
      <c r="B80" s="3">
        <v>50</v>
      </c>
      <c r="C80" s="9">
        <f>Consulta4[[#This Row],[total_pedidos]]/Consulta4[[#Totals],[total_pedidos]]</f>
        <v>1.7368951262722756E-3</v>
      </c>
    </row>
    <row r="81" spans="1:3" x14ac:dyDescent="0.25">
      <c r="A81" s="3" t="s">
        <v>36</v>
      </c>
      <c r="B81" s="3">
        <v>47</v>
      </c>
      <c r="C81" s="9">
        <f>Consulta4[[#This Row],[total_pedidos]]/Consulta4[[#Totals],[total_pedidos]]</f>
        <v>1.6326814186959392E-3</v>
      </c>
    </row>
    <row r="82" spans="1:3" x14ac:dyDescent="0.25">
      <c r="A82" s="3" t="s">
        <v>37</v>
      </c>
      <c r="B82" s="3">
        <v>43</v>
      </c>
      <c r="C82" s="9">
        <f>Consulta4[[#This Row],[total_pedidos]]/Consulta4[[#Totals],[total_pedidos]]</f>
        <v>1.4937298085941572E-3</v>
      </c>
    </row>
    <row r="83" spans="1:3" x14ac:dyDescent="0.25">
      <c r="A83" s="3" t="s">
        <v>38</v>
      </c>
      <c r="B83" s="3">
        <v>40</v>
      </c>
      <c r="C83" s="9">
        <f>Consulta4[[#This Row],[total_pedidos]]/Consulta4[[#Totals],[total_pedidos]]</f>
        <v>1.3895161010178206E-3</v>
      </c>
    </row>
    <row r="84" spans="1:3" x14ac:dyDescent="0.25">
      <c r="A84" s="3" t="s">
        <v>39</v>
      </c>
      <c r="B84" s="3">
        <v>32</v>
      </c>
      <c r="C84" s="9">
        <f>Consulta4[[#This Row],[total_pedidos]]/Consulta4[[#Totals],[total_pedidos]]</f>
        <v>1.1116128808142565E-3</v>
      </c>
    </row>
    <row r="85" spans="1:3" x14ac:dyDescent="0.25">
      <c r="A85" s="3" t="s">
        <v>40</v>
      </c>
      <c r="B85" s="3">
        <v>29</v>
      </c>
      <c r="C85" s="9">
        <f>Consulta4[[#This Row],[total_pedidos]]/Consulta4[[#Totals],[total_pedidos]]</f>
        <v>1.0073991732379199E-3</v>
      </c>
    </row>
    <row r="86" spans="1:3" x14ac:dyDescent="0.25">
      <c r="A86" s="3" t="s">
        <v>41</v>
      </c>
      <c r="B86" s="3">
        <v>26</v>
      </c>
      <c r="C86" s="9">
        <f>Consulta4[[#This Row],[total_pedidos]]/Consulta4[[#Totals],[total_pedidos]]</f>
        <v>9.0318546566158333E-4</v>
      </c>
    </row>
    <row r="87" spans="1:3" x14ac:dyDescent="0.25">
      <c r="A87" s="3" t="s">
        <v>42</v>
      </c>
      <c r="B87" s="3">
        <v>17</v>
      </c>
      <c r="C87" s="9">
        <f>Consulta4[[#This Row],[total_pedidos]]/Consulta4[[#Totals],[total_pedidos]]</f>
        <v>5.9054434293257375E-4</v>
      </c>
    </row>
    <row r="88" spans="1:3" x14ac:dyDescent="0.25">
      <c r="A88" s="3" t="s">
        <v>43</v>
      </c>
      <c r="B88" s="3">
        <v>9</v>
      </c>
      <c r="C88" s="9">
        <f>Consulta4[[#This Row],[total_pedidos]]/Consulta4[[#Totals],[total_pedidos]]</f>
        <v>3.1264112272900963E-4</v>
      </c>
    </row>
    <row r="89" spans="1:3" x14ac:dyDescent="0.25">
      <c r="A89" s="3" t="s">
        <v>44</v>
      </c>
      <c r="B89" s="3">
        <v>8</v>
      </c>
      <c r="C89" s="9">
        <f>Consulta4[[#This Row],[total_pedidos]]/Consulta4[[#Totals],[total_pedidos]]</f>
        <v>2.7790322020356412E-4</v>
      </c>
    </row>
    <row r="90" spans="1:3" x14ac:dyDescent="0.25">
      <c r="A90" s="3" t="s">
        <v>45</v>
      </c>
      <c r="B90" s="3">
        <v>7</v>
      </c>
      <c r="C90" s="9">
        <f>Consulta4[[#This Row],[total_pedidos]]/Consulta4[[#Totals],[total_pedidos]]</f>
        <v>2.4316531767811859E-4</v>
      </c>
    </row>
    <row r="91" spans="1:3" x14ac:dyDescent="0.25">
      <c r="A91" s="3" t="s">
        <v>46</v>
      </c>
      <c r="B91" s="3">
        <v>6</v>
      </c>
      <c r="C91" s="9">
        <f>Consulta4[[#This Row],[total_pedidos]]/Consulta4[[#Totals],[total_pedidos]]</f>
        <v>2.0842741515267308E-4</v>
      </c>
    </row>
    <row r="92" spans="1:3" x14ac:dyDescent="0.25">
      <c r="A92" s="3" t="s">
        <v>47</v>
      </c>
      <c r="B92" s="3">
        <v>5</v>
      </c>
      <c r="C92" s="9">
        <f>Consulta4[[#This Row],[total_pedidos]]/Consulta4[[#Totals],[total_pedidos]]</f>
        <v>1.7368951262722757E-4</v>
      </c>
    </row>
    <row r="93" spans="1:3" x14ac:dyDescent="0.25">
      <c r="A93" s="3" t="s">
        <v>48</v>
      </c>
      <c r="B93" s="3">
        <v>4</v>
      </c>
      <c r="C93" s="9">
        <f>Consulta4[[#This Row],[total_pedidos]]/Consulta4[[#Totals],[total_pedidos]]</f>
        <v>1.3895161010178206E-4</v>
      </c>
    </row>
    <row r="94" spans="1:3" x14ac:dyDescent="0.25">
      <c r="A94" s="3" t="s">
        <v>49</v>
      </c>
      <c r="B94" s="3">
        <v>3</v>
      </c>
      <c r="C94" s="9">
        <f>Consulta4[[#This Row],[total_pedidos]]/Consulta4[[#Totals],[total_pedidos]]</f>
        <v>1.0421370757633654E-4</v>
      </c>
    </row>
    <row r="95" spans="1:3" x14ac:dyDescent="0.25">
      <c r="A95" s="3" t="s">
        <v>50</v>
      </c>
      <c r="B95" s="3">
        <v>3</v>
      </c>
      <c r="C95" s="9">
        <f>Consulta4[[#This Row],[total_pedidos]]/Consulta4[[#Totals],[total_pedidos]]</f>
        <v>1.0421370757633654E-4</v>
      </c>
    </row>
    <row r="96" spans="1:3" x14ac:dyDescent="0.25">
      <c r="A96" s="3" t="s">
        <v>51</v>
      </c>
      <c r="B96" s="3">
        <v>3</v>
      </c>
      <c r="C96" s="9">
        <f>Consulta4[[#This Row],[total_pedidos]]/Consulta4[[#Totals],[total_pedidos]]</f>
        <v>1.0421370757633654E-4</v>
      </c>
    </row>
    <row r="97" spans="1:5" x14ac:dyDescent="0.25">
      <c r="A97" s="3" t="s">
        <v>52</v>
      </c>
      <c r="B97" s="3">
        <v>2</v>
      </c>
      <c r="C97" s="9">
        <f>Consulta4[[#This Row],[total_pedidos]]/Consulta4[[#Totals],[total_pedidos]]</f>
        <v>6.9475805050891031E-5</v>
      </c>
    </row>
    <row r="98" spans="1:5" x14ac:dyDescent="0.25">
      <c r="A98" s="3" t="s">
        <v>53</v>
      </c>
      <c r="B98" s="3">
        <v>2</v>
      </c>
      <c r="C98" s="9">
        <f>Consulta4[[#This Row],[total_pedidos]]/Consulta4[[#Totals],[total_pedidos]]</f>
        <v>6.9475805050891031E-5</v>
      </c>
    </row>
    <row r="99" spans="1:5" x14ac:dyDescent="0.25">
      <c r="A99" s="3" t="s">
        <v>54</v>
      </c>
      <c r="B99" s="3">
        <v>2</v>
      </c>
      <c r="C99" s="9">
        <f>Consulta4[[#This Row],[total_pedidos]]/Consulta4[[#Totals],[total_pedidos]]</f>
        <v>6.9475805050891031E-5</v>
      </c>
    </row>
    <row r="100" spans="1:5" x14ac:dyDescent="0.25">
      <c r="A100" s="3" t="s">
        <v>55</v>
      </c>
      <c r="B100" s="3">
        <v>2</v>
      </c>
      <c r="C100" s="9">
        <f>Consulta4[[#This Row],[total_pedidos]]/Consulta4[[#Totals],[total_pedidos]]</f>
        <v>6.9475805050891031E-5</v>
      </c>
    </row>
    <row r="101" spans="1:5" x14ac:dyDescent="0.25">
      <c r="A101" s="3" t="s">
        <v>56</v>
      </c>
      <c r="B101" s="3">
        <v>2</v>
      </c>
      <c r="C101" s="9">
        <f>Consulta4[[#This Row],[total_pedidos]]/Consulta4[[#Totals],[total_pedidos]]</f>
        <v>6.9475805050891031E-5</v>
      </c>
    </row>
    <row r="102" spans="1:5" x14ac:dyDescent="0.25">
      <c r="A102" s="3" t="s">
        <v>57</v>
      </c>
      <c r="B102" s="3">
        <v>2</v>
      </c>
      <c r="C102" s="9">
        <f>Consulta4[[#This Row],[total_pedidos]]/Consulta4[[#Totals],[total_pedidos]]</f>
        <v>6.9475805050891031E-5</v>
      </c>
    </row>
    <row r="103" spans="1:5" x14ac:dyDescent="0.25">
      <c r="A103" s="3" t="s">
        <v>58</v>
      </c>
      <c r="B103" s="3">
        <v>2</v>
      </c>
      <c r="C103" s="9">
        <f>Consulta4[[#This Row],[total_pedidos]]/Consulta4[[#Totals],[total_pedidos]]</f>
        <v>6.9475805050891031E-5</v>
      </c>
    </row>
    <row r="104" spans="1:5" x14ac:dyDescent="0.25">
      <c r="A104" s="3" t="s">
        <v>59</v>
      </c>
      <c r="B104" s="3">
        <v>1</v>
      </c>
      <c r="C104" s="9">
        <f>Consulta4[[#This Row],[total_pedidos]]/Consulta4[[#Totals],[total_pedidos]]</f>
        <v>3.4737902525445515E-5</v>
      </c>
    </row>
    <row r="105" spans="1:5" x14ac:dyDescent="0.25">
      <c r="A105" s="3" t="s">
        <v>60</v>
      </c>
      <c r="B105" s="3">
        <v>1</v>
      </c>
      <c r="C105" s="9">
        <f>Consulta4[[#This Row],[total_pedidos]]/Consulta4[[#Totals],[total_pedidos]]</f>
        <v>3.4737902525445515E-5</v>
      </c>
    </row>
    <row r="106" spans="1:5" x14ac:dyDescent="0.25">
      <c r="A106" s="3" t="s">
        <v>61</v>
      </c>
      <c r="B106" s="3">
        <v>1</v>
      </c>
      <c r="C106" s="9">
        <f>Consulta4[[#This Row],[total_pedidos]]/Consulta4[[#Totals],[total_pedidos]]</f>
        <v>3.4737902525445515E-5</v>
      </c>
    </row>
    <row r="107" spans="1:5" x14ac:dyDescent="0.25">
      <c r="A107" s="3" t="s">
        <v>62</v>
      </c>
      <c r="B107" s="3">
        <v>1</v>
      </c>
      <c r="C107" s="9">
        <f>Consulta4[[#This Row],[total_pedidos]]/Consulta4[[#Totals],[total_pedidos]]</f>
        <v>3.4737902525445515E-5</v>
      </c>
    </row>
    <row r="108" spans="1:5" x14ac:dyDescent="0.25">
      <c r="A108" s="3" t="s">
        <v>63</v>
      </c>
      <c r="B108" s="3">
        <v>1</v>
      </c>
      <c r="C108" s="9">
        <f>Consulta4[[#This Row],[total_pedidos]]/Consulta4[[#Totals],[total_pedidos]]</f>
        <v>3.4737902525445515E-5</v>
      </c>
    </row>
    <row r="109" spans="1:5" x14ac:dyDescent="0.25">
      <c r="A109" s="3" t="s">
        <v>64</v>
      </c>
      <c r="B109" s="3">
        <v>1</v>
      </c>
      <c r="C109" s="9">
        <f>Consulta4[[#This Row],[total_pedidos]]/Consulta4[[#Totals],[total_pedidos]]</f>
        <v>3.4737902525445515E-5</v>
      </c>
    </row>
    <row r="110" spans="1:5" x14ac:dyDescent="0.25">
      <c r="B110" s="3">
        <f>SUM(Consulta4[total_pedidos])</f>
        <v>28787</v>
      </c>
      <c r="C110" s="9"/>
    </row>
    <row r="112" spans="1:5" s="12" customFormat="1" x14ac:dyDescent="0.25">
      <c r="A112" s="11"/>
      <c r="B112" s="11"/>
      <c r="C112" s="11"/>
      <c r="E112" s="13"/>
    </row>
    <row r="115" spans="1:6" x14ac:dyDescent="0.25">
      <c r="A115" s="3" t="s">
        <v>65</v>
      </c>
      <c r="B115" s="3" t="s">
        <v>66</v>
      </c>
      <c r="C115" s="3" t="s">
        <v>67</v>
      </c>
      <c r="E115" s="10" t="s">
        <v>78</v>
      </c>
      <c r="F115" s="8" t="s">
        <v>3</v>
      </c>
    </row>
    <row r="116" spans="1:6" x14ac:dyDescent="0.25">
      <c r="A116" s="3">
        <v>2011</v>
      </c>
      <c r="B116" s="3">
        <v>5</v>
      </c>
      <c r="C116" s="3">
        <v>43</v>
      </c>
      <c r="F116" s="7" t="s">
        <v>79</v>
      </c>
    </row>
    <row r="117" spans="1:6" x14ac:dyDescent="0.25">
      <c r="A117" s="3">
        <v>2011</v>
      </c>
      <c r="B117" s="3">
        <v>6</v>
      </c>
      <c r="C117" s="3">
        <v>141</v>
      </c>
      <c r="F117" t="s">
        <v>80</v>
      </c>
    </row>
    <row r="118" spans="1:6" x14ac:dyDescent="0.25">
      <c r="A118" s="3">
        <v>2011</v>
      </c>
      <c r="B118" s="3">
        <v>7</v>
      </c>
      <c r="C118" s="3">
        <v>231</v>
      </c>
      <c r="F118"/>
    </row>
    <row r="119" spans="1:6" x14ac:dyDescent="0.25">
      <c r="A119" s="3">
        <v>2011</v>
      </c>
      <c r="B119" s="3">
        <v>8</v>
      </c>
      <c r="C119" s="3">
        <v>250</v>
      </c>
    </row>
    <row r="120" spans="1:6" x14ac:dyDescent="0.25">
      <c r="A120" s="3">
        <v>2011</v>
      </c>
      <c r="B120" s="3">
        <v>9</v>
      </c>
      <c r="C120" s="3">
        <v>157</v>
      </c>
    </row>
    <row r="121" spans="1:6" x14ac:dyDescent="0.25">
      <c r="A121" s="3">
        <v>2011</v>
      </c>
      <c r="B121" s="3">
        <v>10</v>
      </c>
      <c r="C121" s="3">
        <v>327</v>
      </c>
    </row>
    <row r="122" spans="1:6" x14ac:dyDescent="0.25">
      <c r="A122" s="3">
        <v>2011</v>
      </c>
      <c r="B122" s="3">
        <v>11</v>
      </c>
      <c r="C122" s="3">
        <v>230</v>
      </c>
    </row>
    <row r="123" spans="1:6" x14ac:dyDescent="0.25">
      <c r="A123" s="3">
        <v>2011</v>
      </c>
      <c r="B123" s="3">
        <v>12</v>
      </c>
      <c r="C123" s="3">
        <v>228</v>
      </c>
    </row>
    <row r="124" spans="1:6" x14ac:dyDescent="0.25">
      <c r="A124" s="3">
        <v>2012</v>
      </c>
      <c r="B124" s="3">
        <v>1</v>
      </c>
      <c r="C124" s="3">
        <v>336</v>
      </c>
    </row>
    <row r="125" spans="1:6" x14ac:dyDescent="0.25">
      <c r="A125" s="3">
        <v>2012</v>
      </c>
      <c r="B125" s="3">
        <v>2</v>
      </c>
      <c r="C125" s="3">
        <v>219</v>
      </c>
    </row>
    <row r="126" spans="1:6" x14ac:dyDescent="0.25">
      <c r="A126" s="3">
        <v>2012</v>
      </c>
      <c r="B126" s="3">
        <v>3</v>
      </c>
      <c r="C126" s="3">
        <v>304</v>
      </c>
    </row>
    <row r="127" spans="1:6" x14ac:dyDescent="0.25">
      <c r="A127" s="3">
        <v>2012</v>
      </c>
      <c r="B127" s="3">
        <v>4</v>
      </c>
      <c r="C127" s="3">
        <v>269</v>
      </c>
    </row>
    <row r="128" spans="1:6" x14ac:dyDescent="0.25">
      <c r="A128" s="3">
        <v>2012</v>
      </c>
      <c r="B128" s="3">
        <v>5</v>
      </c>
      <c r="C128" s="3">
        <v>293</v>
      </c>
    </row>
    <row r="129" spans="1:3" x14ac:dyDescent="0.25">
      <c r="A129" s="3">
        <v>2012</v>
      </c>
      <c r="B129" s="3">
        <v>6</v>
      </c>
      <c r="C129" s="3">
        <v>390</v>
      </c>
    </row>
    <row r="130" spans="1:3" x14ac:dyDescent="0.25">
      <c r="A130" s="3">
        <v>2012</v>
      </c>
      <c r="B130" s="3">
        <v>7</v>
      </c>
      <c r="C130" s="3">
        <v>385</v>
      </c>
    </row>
    <row r="131" spans="1:3" x14ac:dyDescent="0.25">
      <c r="A131" s="3">
        <v>2012</v>
      </c>
      <c r="B131" s="3">
        <v>8</v>
      </c>
      <c r="C131" s="3">
        <v>285</v>
      </c>
    </row>
    <row r="132" spans="1:3" x14ac:dyDescent="0.25">
      <c r="A132" s="3">
        <v>2012</v>
      </c>
      <c r="B132" s="3">
        <v>9</v>
      </c>
      <c r="C132" s="3">
        <v>352</v>
      </c>
    </row>
    <row r="133" spans="1:3" x14ac:dyDescent="0.25">
      <c r="A133" s="3">
        <v>2012</v>
      </c>
      <c r="B133" s="3">
        <v>10</v>
      </c>
      <c r="C133" s="3">
        <v>321</v>
      </c>
    </row>
    <row r="134" spans="1:3" x14ac:dyDescent="0.25">
      <c r="A134" s="3">
        <v>2012</v>
      </c>
      <c r="B134" s="3">
        <v>11</v>
      </c>
      <c r="C134" s="3">
        <v>383</v>
      </c>
    </row>
    <row r="135" spans="1:3" x14ac:dyDescent="0.25">
      <c r="A135" s="3">
        <v>2012</v>
      </c>
      <c r="B135" s="3">
        <v>12</v>
      </c>
      <c r="C135" s="3">
        <v>378</v>
      </c>
    </row>
    <row r="136" spans="1:3" x14ac:dyDescent="0.25">
      <c r="A136" s="3">
        <v>2013</v>
      </c>
      <c r="B136" s="3">
        <v>1</v>
      </c>
      <c r="C136" s="3">
        <v>400</v>
      </c>
    </row>
    <row r="137" spans="1:3" x14ac:dyDescent="0.25">
      <c r="A137" s="3">
        <v>2013</v>
      </c>
      <c r="B137" s="3">
        <v>2</v>
      </c>
      <c r="C137" s="3">
        <v>325</v>
      </c>
    </row>
    <row r="138" spans="1:3" x14ac:dyDescent="0.25">
      <c r="A138" s="3">
        <v>2013</v>
      </c>
      <c r="B138" s="3">
        <v>3</v>
      </c>
      <c r="C138" s="3">
        <v>441</v>
      </c>
    </row>
    <row r="139" spans="1:3" x14ac:dyDescent="0.25">
      <c r="A139" s="3">
        <v>2013</v>
      </c>
      <c r="B139" s="3">
        <v>4</v>
      </c>
      <c r="C139" s="3">
        <v>428</v>
      </c>
    </row>
    <row r="140" spans="1:3" x14ac:dyDescent="0.25">
      <c r="A140" s="3">
        <v>2013</v>
      </c>
      <c r="B140" s="3">
        <v>5</v>
      </c>
      <c r="C140" s="3">
        <v>426</v>
      </c>
    </row>
    <row r="141" spans="1:3" x14ac:dyDescent="0.25">
      <c r="A141" s="3">
        <v>2013</v>
      </c>
      <c r="B141" s="3">
        <v>6</v>
      </c>
      <c r="C141" s="3">
        <v>713</v>
      </c>
    </row>
    <row r="142" spans="1:3" x14ac:dyDescent="0.25">
      <c r="A142" s="3">
        <v>2013</v>
      </c>
      <c r="B142" s="3">
        <v>7</v>
      </c>
      <c r="C142" s="3">
        <v>1675</v>
      </c>
    </row>
    <row r="143" spans="1:3" x14ac:dyDescent="0.25">
      <c r="A143" s="3">
        <v>2013</v>
      </c>
      <c r="B143" s="3">
        <v>8</v>
      </c>
      <c r="C143" s="3">
        <v>1727</v>
      </c>
    </row>
    <row r="144" spans="1:3" x14ac:dyDescent="0.25">
      <c r="A144" s="3">
        <v>2013</v>
      </c>
      <c r="B144" s="3">
        <v>9</v>
      </c>
      <c r="C144" s="3">
        <v>1741</v>
      </c>
    </row>
    <row r="145" spans="1:6" x14ac:dyDescent="0.25">
      <c r="A145" s="3">
        <v>2013</v>
      </c>
      <c r="B145" s="3">
        <v>10</v>
      </c>
      <c r="C145" s="3">
        <v>1893</v>
      </c>
    </row>
    <row r="146" spans="1:6" x14ac:dyDescent="0.25">
      <c r="A146" s="3">
        <v>2013</v>
      </c>
      <c r="B146" s="3">
        <v>11</v>
      </c>
      <c r="C146" s="3">
        <v>2041</v>
      </c>
    </row>
    <row r="147" spans="1:6" x14ac:dyDescent="0.25">
      <c r="A147" s="3">
        <v>2013</v>
      </c>
      <c r="B147" s="3">
        <v>12</v>
      </c>
      <c r="C147" s="3">
        <v>1970</v>
      </c>
    </row>
    <row r="148" spans="1:6" x14ac:dyDescent="0.25">
      <c r="A148" s="3">
        <v>2014</v>
      </c>
      <c r="B148" s="3">
        <v>1</v>
      </c>
      <c r="C148" s="3">
        <v>2073</v>
      </c>
    </row>
    <row r="149" spans="1:6" x14ac:dyDescent="0.25">
      <c r="A149" s="3">
        <v>2014</v>
      </c>
      <c r="B149" s="3">
        <v>2</v>
      </c>
      <c r="C149" s="3">
        <v>1713</v>
      </c>
    </row>
    <row r="150" spans="1:6" x14ac:dyDescent="0.25">
      <c r="A150" s="3">
        <v>2014</v>
      </c>
      <c r="B150" s="3">
        <v>3</v>
      </c>
      <c r="C150" s="3">
        <v>2342</v>
      </c>
    </row>
    <row r="151" spans="1:6" x14ac:dyDescent="0.25">
      <c r="A151" s="3">
        <v>2014</v>
      </c>
      <c r="B151" s="3">
        <v>4</v>
      </c>
      <c r="C151" s="3">
        <v>2058</v>
      </c>
    </row>
    <row r="152" spans="1:6" x14ac:dyDescent="0.25">
      <c r="A152" s="3">
        <v>2014</v>
      </c>
      <c r="B152" s="3">
        <v>5</v>
      </c>
      <c r="C152" s="3">
        <v>2350</v>
      </c>
    </row>
    <row r="153" spans="1:6" x14ac:dyDescent="0.25">
      <c r="A153" s="3">
        <v>2014</v>
      </c>
      <c r="B153" s="3">
        <v>6</v>
      </c>
      <c r="C153" s="3">
        <v>898</v>
      </c>
    </row>
    <row r="155" spans="1:6" s="12" customFormat="1" x14ac:dyDescent="0.25">
      <c r="A155" s="11"/>
      <c r="B155" s="11"/>
      <c r="C155" s="11"/>
      <c r="E155" s="13"/>
    </row>
    <row r="157" spans="1:6" x14ac:dyDescent="0.25">
      <c r="A157" s="3" t="s">
        <v>65</v>
      </c>
      <c r="B157" s="3" t="s">
        <v>66</v>
      </c>
      <c r="C157" s="5" t="s">
        <v>81</v>
      </c>
      <c r="E157" s="10" t="s">
        <v>82</v>
      </c>
      <c r="F157" s="8" t="s">
        <v>3</v>
      </c>
    </row>
    <row r="158" spans="1:6" x14ac:dyDescent="0.25">
      <c r="A158" s="3">
        <v>2011</v>
      </c>
      <c r="B158" s="3">
        <v>5</v>
      </c>
      <c r="C158" s="5">
        <v>13186.5337</v>
      </c>
      <c r="F158" s="7" t="s">
        <v>83</v>
      </c>
    </row>
    <row r="159" spans="1:6" x14ac:dyDescent="0.25">
      <c r="A159" s="3">
        <v>2011</v>
      </c>
      <c r="B159" s="3">
        <v>6</v>
      </c>
      <c r="C159" s="5">
        <v>3596.4288000000001</v>
      </c>
      <c r="F159" t="s">
        <v>84</v>
      </c>
    </row>
    <row r="160" spans="1:6" x14ac:dyDescent="0.25">
      <c r="A160" s="3">
        <v>2011</v>
      </c>
      <c r="B160" s="3">
        <v>7</v>
      </c>
      <c r="C160" s="5">
        <v>9922.8696</v>
      </c>
    </row>
    <row r="161" spans="1:3" x14ac:dyDescent="0.25">
      <c r="A161" s="3">
        <v>2011</v>
      </c>
      <c r="B161" s="3">
        <v>8</v>
      </c>
      <c r="C161" s="5">
        <v>11202.304599999999</v>
      </c>
    </row>
    <row r="162" spans="1:3" x14ac:dyDescent="0.25">
      <c r="A162" s="3">
        <v>2011</v>
      </c>
      <c r="B162" s="3">
        <v>9</v>
      </c>
      <c r="C162" s="5">
        <v>3533.7044999999998</v>
      </c>
    </row>
    <row r="163" spans="1:3" x14ac:dyDescent="0.25">
      <c r="A163" s="3">
        <v>2011</v>
      </c>
      <c r="B163" s="3">
        <v>10</v>
      </c>
      <c r="C163" s="5">
        <v>15768.408299999999</v>
      </c>
    </row>
    <row r="164" spans="1:3" x14ac:dyDescent="0.25">
      <c r="A164" s="3">
        <v>2011</v>
      </c>
      <c r="B164" s="3">
        <v>11</v>
      </c>
      <c r="C164" s="5">
        <v>3544.8391000000001</v>
      </c>
    </row>
    <row r="165" spans="1:3" x14ac:dyDescent="0.25">
      <c r="A165" s="3">
        <v>2011</v>
      </c>
      <c r="B165" s="3">
        <v>12</v>
      </c>
      <c r="C165" s="5">
        <v>6414.2494999999999</v>
      </c>
    </row>
    <row r="166" spans="1:3" x14ac:dyDescent="0.25">
      <c r="A166" s="3">
        <v>2012</v>
      </c>
      <c r="B166" s="3">
        <v>1</v>
      </c>
      <c r="C166" s="5">
        <v>13268.8614</v>
      </c>
    </row>
    <row r="167" spans="1:3" x14ac:dyDescent="0.25">
      <c r="A167" s="3">
        <v>2012</v>
      </c>
      <c r="B167" s="3">
        <v>2</v>
      </c>
      <c r="C167" s="5">
        <v>7529.9173000000001</v>
      </c>
    </row>
    <row r="168" spans="1:3" x14ac:dyDescent="0.25">
      <c r="A168" s="3">
        <v>2012</v>
      </c>
      <c r="B168" s="3">
        <v>3</v>
      </c>
      <c r="C168" s="5">
        <v>10974.8272</v>
      </c>
    </row>
    <row r="169" spans="1:3" x14ac:dyDescent="0.25">
      <c r="A169" s="3">
        <v>2012</v>
      </c>
      <c r="B169" s="3">
        <v>4</v>
      </c>
      <c r="C169" s="5">
        <v>6958.8234000000002</v>
      </c>
    </row>
    <row r="170" spans="1:3" x14ac:dyDescent="0.25">
      <c r="A170" s="3">
        <v>2012</v>
      </c>
      <c r="B170" s="3">
        <v>5</v>
      </c>
      <c r="C170" s="5">
        <v>11784.725</v>
      </c>
    </row>
    <row r="171" spans="1:3" x14ac:dyDescent="0.25">
      <c r="A171" s="3">
        <v>2012</v>
      </c>
      <c r="B171" s="3">
        <v>6</v>
      </c>
      <c r="C171" s="5">
        <v>11822.1723</v>
      </c>
    </row>
    <row r="172" spans="1:3" x14ac:dyDescent="0.25">
      <c r="A172" s="3">
        <v>2012</v>
      </c>
      <c r="B172" s="3">
        <v>7</v>
      </c>
      <c r="C172" s="5">
        <v>9974.6270999999997</v>
      </c>
    </row>
    <row r="173" spans="1:3" x14ac:dyDescent="0.25">
      <c r="A173" s="3">
        <v>2012</v>
      </c>
      <c r="B173" s="3">
        <v>8</v>
      </c>
      <c r="C173" s="5">
        <v>8570.0041000000001</v>
      </c>
    </row>
    <row r="174" spans="1:3" x14ac:dyDescent="0.25">
      <c r="A174" s="3">
        <v>2012</v>
      </c>
      <c r="B174" s="3">
        <v>9</v>
      </c>
      <c r="C174" s="5">
        <v>11027.6255</v>
      </c>
    </row>
    <row r="175" spans="1:3" x14ac:dyDescent="0.25">
      <c r="A175" s="3">
        <v>2012</v>
      </c>
      <c r="B175" s="3">
        <v>10</v>
      </c>
      <c r="C175" s="5">
        <v>8903.6142999999993</v>
      </c>
    </row>
    <row r="176" spans="1:3" x14ac:dyDescent="0.25">
      <c r="A176" s="3">
        <v>2012</v>
      </c>
      <c r="B176" s="3">
        <v>11</v>
      </c>
      <c r="C176" s="5">
        <v>5475.5955999999996</v>
      </c>
    </row>
    <row r="177" spans="1:3" x14ac:dyDescent="0.25">
      <c r="A177" s="3">
        <v>2012</v>
      </c>
      <c r="B177" s="3">
        <v>12</v>
      </c>
      <c r="C177" s="5">
        <v>8404.3601999999992</v>
      </c>
    </row>
    <row r="178" spans="1:3" x14ac:dyDescent="0.25">
      <c r="A178" s="3">
        <v>2013</v>
      </c>
      <c r="B178" s="3">
        <v>1</v>
      </c>
      <c r="C178" s="5">
        <v>5850.1538</v>
      </c>
    </row>
    <row r="179" spans="1:3" x14ac:dyDescent="0.25">
      <c r="A179" s="3">
        <v>2013</v>
      </c>
      <c r="B179" s="3">
        <v>2</v>
      </c>
      <c r="C179" s="5">
        <v>8000.6733999999997</v>
      </c>
    </row>
    <row r="180" spans="1:3" x14ac:dyDescent="0.25">
      <c r="A180" s="3">
        <v>2013</v>
      </c>
      <c r="B180" s="3">
        <v>3</v>
      </c>
      <c r="C180" s="5">
        <v>8688.4488000000001</v>
      </c>
    </row>
    <row r="181" spans="1:3" x14ac:dyDescent="0.25">
      <c r="A181" s="3">
        <v>2013</v>
      </c>
      <c r="B181" s="3">
        <v>4</v>
      </c>
      <c r="C181" s="5">
        <v>6637.1755999999996</v>
      </c>
    </row>
    <row r="182" spans="1:3" x14ac:dyDescent="0.25">
      <c r="A182" s="3">
        <v>2013</v>
      </c>
      <c r="B182" s="3">
        <v>5</v>
      </c>
      <c r="C182" s="5">
        <v>8587.0537999999997</v>
      </c>
    </row>
    <row r="183" spans="1:3" x14ac:dyDescent="0.25">
      <c r="A183" s="3">
        <v>2013</v>
      </c>
      <c r="B183" s="3">
        <v>6</v>
      </c>
      <c r="C183" s="5">
        <v>8031.2275</v>
      </c>
    </row>
    <row r="184" spans="1:3" x14ac:dyDescent="0.25">
      <c r="A184" s="3">
        <v>2013</v>
      </c>
      <c r="B184" s="3">
        <v>7</v>
      </c>
      <c r="C184" s="5">
        <v>3296.6212999999998</v>
      </c>
    </row>
    <row r="185" spans="1:3" x14ac:dyDescent="0.25">
      <c r="A185" s="3">
        <v>2013</v>
      </c>
      <c r="B185" s="3">
        <v>8</v>
      </c>
      <c r="C185" s="5">
        <v>2162.1152000000002</v>
      </c>
    </row>
    <row r="186" spans="1:3" x14ac:dyDescent="0.25">
      <c r="A186" s="3">
        <v>2013</v>
      </c>
      <c r="B186" s="3">
        <v>9</v>
      </c>
      <c r="C186" s="5">
        <v>2919.8766999999998</v>
      </c>
    </row>
    <row r="187" spans="1:3" x14ac:dyDescent="0.25">
      <c r="A187" s="3">
        <v>2013</v>
      </c>
      <c r="B187" s="3">
        <v>10</v>
      </c>
      <c r="C187" s="5">
        <v>2839.0785999999998</v>
      </c>
    </row>
    <row r="188" spans="1:3" x14ac:dyDescent="0.25">
      <c r="A188" s="3">
        <v>2013</v>
      </c>
      <c r="B188" s="3">
        <v>11</v>
      </c>
      <c r="C188" s="5">
        <v>1810.2243000000001</v>
      </c>
    </row>
    <row r="189" spans="1:3" x14ac:dyDescent="0.25">
      <c r="A189" s="3">
        <v>2013</v>
      </c>
      <c r="B189" s="3">
        <v>12</v>
      </c>
      <c r="C189" s="5">
        <v>2315.0137</v>
      </c>
    </row>
    <row r="190" spans="1:3" x14ac:dyDescent="0.25">
      <c r="A190" s="3">
        <v>2014</v>
      </c>
      <c r="B190" s="3">
        <v>1</v>
      </c>
      <c r="C190" s="5">
        <v>2314.5333999999998</v>
      </c>
    </row>
    <row r="191" spans="1:3" x14ac:dyDescent="0.25">
      <c r="A191" s="3">
        <v>2014</v>
      </c>
      <c r="B191" s="3">
        <v>2</v>
      </c>
      <c r="C191" s="5">
        <v>862.93820000000005</v>
      </c>
    </row>
    <row r="192" spans="1:3" x14ac:dyDescent="0.25">
      <c r="A192" s="3">
        <v>2014</v>
      </c>
      <c r="B192" s="3">
        <v>3</v>
      </c>
      <c r="C192" s="5">
        <v>3457.3168999999998</v>
      </c>
    </row>
    <row r="193" spans="1:3" x14ac:dyDescent="0.25">
      <c r="A193" s="3">
        <v>2014</v>
      </c>
      <c r="B193" s="3">
        <v>4</v>
      </c>
      <c r="C193" s="5">
        <v>964.95920000000001</v>
      </c>
    </row>
    <row r="194" spans="1:3" x14ac:dyDescent="0.25">
      <c r="A194" s="3">
        <v>2014</v>
      </c>
      <c r="B194" s="3">
        <v>5</v>
      </c>
      <c r="C194" s="5">
        <v>2555.8226</v>
      </c>
    </row>
    <row r="195" spans="1:3" x14ac:dyDescent="0.25">
      <c r="A195" s="3">
        <v>2014</v>
      </c>
      <c r="B195" s="3">
        <v>6</v>
      </c>
      <c r="C195" s="5">
        <v>60.302300000000002</v>
      </c>
    </row>
  </sheetData>
  <sheetProtection algorithmName="SHA-512" hashValue="lXcLJ/VhG+w19uy36qPnudnqMo3RpiUA+7o1+WZ8I9s1HkQQ8pSp6Wv+gplt8bUL9XvD1O8o6BtXMnsbzG95pg==" saltValue="5VNAu2Z9tLlIOdwYOgXv2g==" spinCount="100000" sheet="1" objects="1" scenarios="1"/>
  <mergeCells count="1">
    <mergeCell ref="A1:X3"/>
  </mergeCells>
  <pageMargins left="0.511811024" right="0.511811024" top="0.78740157499999996" bottom="0.78740157499999996" header="0.31496062000000002" footer="0.31496062000000002"/>
  <drawing r:id="rId1"/>
  <tableParts count="5"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98DD90-846D-4B2D-8DD1-B6836ECB5E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KPI1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Gabriel</dc:creator>
  <cp:lastModifiedBy>Joao Gabriel</cp:lastModifiedBy>
  <dcterms:created xsi:type="dcterms:W3CDTF">2026-01-01T23:24:59Z</dcterms:created>
  <dcterms:modified xsi:type="dcterms:W3CDTF">2026-01-02T12:10:15Z</dcterms:modified>
</cp:coreProperties>
</file>